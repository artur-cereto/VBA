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rtur\Documents\Artur\Pessoal\Cursos\Excel\"/>
    </mc:Choice>
  </mc:AlternateContent>
  <xr:revisionPtr revIDLastSave="0" documentId="13_ncr:1_{BA2E668A-D978-4E9F-A2C5-F41240651D1B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1.Cadastro Vendas" sheetId="7" r:id="rId1"/>
    <sheet name="2.Relatório Finanças" sheetId="2" r:id="rId2"/>
    <sheet name="3.Produção " sheetId="1" r:id="rId3"/>
    <sheet name="4.Ingredientes" sheetId="3" r:id="rId4"/>
    <sheet name="5.Receitas" sheetId="4" r:id="rId5"/>
    <sheet name="6.Registro Finanças" sheetId="6" r:id="rId6"/>
    <sheet name="7.Registro Produção" sheetId="5" r:id="rId7"/>
  </sheets>
  <definedNames>
    <definedName name="_xlnm._FilterDatabase" localSheetId="3" hidden="1">'4.Ingredientes'!$A$2:$F$22</definedName>
    <definedName name="Adicional">'3.Produção '!$B$16</definedName>
    <definedName name="BolosProd">'3.Produção '!$B$14</definedName>
    <definedName name="Chocolate">'5.Receitas'!$G$12</definedName>
    <definedName name="ChocolateB">'5.Receitas'!$K$11</definedName>
    <definedName name="Embalagem">'3.Produção '!$B$15</definedName>
    <definedName name="Ingredientes">'4.Ingredientes'!$A$2:$F$23</definedName>
    <definedName name="Massa">'5.Receitas'!$C$11</definedName>
    <definedName name="Morango">'5.Receitas'!$O$9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3" l="1"/>
  <c r="F5" i="3"/>
  <c r="F6" i="3"/>
  <c r="F7" i="3"/>
  <c r="F8" i="3"/>
  <c r="C5" i="4" s="1"/>
  <c r="F9" i="3"/>
  <c r="G7" i="4" s="1"/>
  <c r="F10" i="3"/>
  <c r="F11" i="3"/>
  <c r="F12" i="3"/>
  <c r="F13" i="3"/>
  <c r="F14" i="3"/>
  <c r="F15" i="3"/>
  <c r="C10" i="4" s="1"/>
  <c r="F16" i="3"/>
  <c r="F17" i="3"/>
  <c r="F18" i="3"/>
  <c r="F19" i="3"/>
  <c r="F20" i="3"/>
  <c r="F21" i="3"/>
  <c r="F22" i="3"/>
  <c r="F3" i="3"/>
  <c r="L9" i="2"/>
  <c r="E15" i="7"/>
  <c r="C15" i="7"/>
  <c r="B14" i="1"/>
  <c r="I67" i="1" s="1"/>
  <c r="O8" i="2"/>
  <c r="O7" i="2"/>
  <c r="L20" i="2"/>
  <c r="M13" i="2"/>
  <c r="M8" i="2"/>
  <c r="A71" i="1"/>
  <c r="H67" i="1"/>
  <c r="G67" i="1"/>
  <c r="F67" i="1"/>
  <c r="E67" i="1"/>
  <c r="D67" i="1"/>
  <c r="C67" i="1"/>
  <c r="B67" i="1"/>
  <c r="A67" i="1"/>
  <c r="O8" i="4"/>
  <c r="C6" i="4"/>
  <c r="O5" i="4"/>
  <c r="D23" i="3"/>
  <c r="E22" i="3"/>
  <c r="E21" i="3"/>
  <c r="E20" i="3"/>
  <c r="E19" i="3"/>
  <c r="E18" i="3"/>
  <c r="E17" i="3"/>
  <c r="E16" i="3"/>
  <c r="C8" i="4" s="1"/>
  <c r="E15" i="3"/>
  <c r="K5" i="4"/>
  <c r="E14" i="3"/>
  <c r="E13" i="3"/>
  <c r="E12" i="3"/>
  <c r="K7" i="4" s="1"/>
  <c r="C7" i="4"/>
  <c r="E11" i="3"/>
  <c r="E10" i="3"/>
  <c r="E9" i="3"/>
  <c r="E8" i="3"/>
  <c r="E7" i="3"/>
  <c r="G11" i="4" s="1"/>
  <c r="E6" i="3"/>
  <c r="O6" i="4"/>
  <c r="E5" i="3"/>
  <c r="E4" i="3"/>
  <c r="K10" i="4" s="1"/>
  <c r="G9" i="4"/>
  <c r="E3" i="3"/>
  <c r="O7" i="4" l="1"/>
  <c r="O9" i="4" s="1"/>
  <c r="G7" i="1" s="1"/>
  <c r="F7" i="1" s="1"/>
  <c r="O9" i="2"/>
  <c r="I2" i="1"/>
  <c r="B71" i="1"/>
  <c r="Q67" i="1"/>
  <c r="K8" i="4"/>
  <c r="G8" i="4"/>
  <c r="G10" i="4"/>
  <c r="K9" i="4"/>
  <c r="C9" i="4"/>
  <c r="C11" i="4" s="1"/>
  <c r="G4" i="1" s="1"/>
  <c r="F4" i="1" s="1"/>
  <c r="G6" i="4"/>
  <c r="K6" i="4"/>
  <c r="G5" i="4"/>
  <c r="K11" i="4" l="1"/>
  <c r="G6" i="1" s="1"/>
  <c r="F6" i="1" s="1"/>
  <c r="J67" i="1"/>
  <c r="M67" i="1"/>
  <c r="G12" i="4"/>
  <c r="G5" i="1" s="1"/>
  <c r="F5" i="1" s="1"/>
  <c r="L67" i="1" l="1"/>
  <c r="F12" i="1"/>
  <c r="G12" i="1" s="1"/>
  <c r="H12" i="1" s="1"/>
  <c r="F10" i="1"/>
  <c r="F11" i="1"/>
  <c r="G11" i="1" s="1"/>
  <c r="H11" i="1" s="1"/>
  <c r="I11" i="1" s="1"/>
  <c r="K67" i="1"/>
  <c r="F21" i="1" l="1"/>
  <c r="H21" i="1" s="1"/>
  <c r="F13" i="1"/>
  <c r="G10" i="1"/>
  <c r="I12" i="1"/>
  <c r="P67" i="1" s="1"/>
  <c r="F20" i="1"/>
  <c r="G20" i="1" s="1"/>
  <c r="O67" i="1"/>
  <c r="G21" i="1" l="1"/>
  <c r="H10" i="1"/>
  <c r="I10" i="1" s="1"/>
  <c r="I13" i="1" s="1"/>
  <c r="G13" i="1"/>
  <c r="H20" i="1"/>
  <c r="F19" i="1" l="1"/>
  <c r="G19" i="1" s="1"/>
  <c r="C71" i="1" l="1"/>
  <c r="H16" i="1"/>
  <c r="S67" i="1" s="1"/>
  <c r="T67" i="1"/>
  <c r="N67" i="1"/>
  <c r="R67" i="1"/>
  <c r="H19" i="1"/>
  <c r="L10" i="2" l="1"/>
  <c r="L8" i="2"/>
  <c r="M9" i="2"/>
  <c r="M10" i="2"/>
  <c r="M11" i="2" l="1"/>
  <c r="L11" i="2"/>
  <c r="M16" i="2" l="1"/>
  <c r="M15" i="2"/>
  <c r="M14" i="2"/>
  <c r="L14" i="2"/>
  <c r="L15" i="2"/>
  <c r="L13" i="2"/>
  <c r="L16" i="2"/>
  <c r="L17" i="2" l="1"/>
  <c r="M17" i="2"/>
  <c r="L19" i="2" l="1"/>
  <c r="L18" i="2"/>
  <c r="L2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Artur Cereto</author>
  </authors>
  <commentList>
    <comment ref="H9" authorId="0" shapeId="0" xr:uid="{6B5582EB-7E08-4B53-AE84-482DE4B45047}">
      <text>
        <r>
          <rPr>
            <b/>
            <sz val="9"/>
            <color indexed="81"/>
            <rFont val="Segoe UI"/>
            <charset val="1"/>
          </rPr>
          <t xml:space="preserve">Ingredientes +Adicional + Embalagem
</t>
        </r>
      </text>
    </comment>
  </commentList>
</comments>
</file>

<file path=xl/sharedStrings.xml><?xml version="1.0" encoding="utf-8"?>
<sst xmlns="http://schemas.openxmlformats.org/spreadsheetml/2006/main" count="318" uniqueCount="115">
  <si>
    <t>Entradas</t>
  </si>
  <si>
    <t>Resumo Financeiro:</t>
  </si>
  <si>
    <t>Data da produção</t>
  </si>
  <si>
    <t>Produção</t>
  </si>
  <si>
    <t>Preço de Venda</t>
  </si>
  <si>
    <t>Parte</t>
  </si>
  <si>
    <t>Custo Total</t>
  </si>
  <si>
    <t>Custo/unidade</t>
  </si>
  <si>
    <t>Qtd (Receitas)</t>
  </si>
  <si>
    <t>Massa</t>
  </si>
  <si>
    <t>Bolo</t>
  </si>
  <si>
    <t>Custo</t>
  </si>
  <si>
    <t>Lucro</t>
  </si>
  <si>
    <t>Lucro (%)</t>
  </si>
  <si>
    <t>Chocolate</t>
  </si>
  <si>
    <t>Chocolate Branco</t>
  </si>
  <si>
    <t>Morango</t>
  </si>
  <si>
    <t>Stikadinho</t>
  </si>
  <si>
    <t>Bolos:</t>
  </si>
  <si>
    <t>Bolos</t>
  </si>
  <si>
    <t>Tipo</t>
  </si>
  <si>
    <t>Custo total</t>
  </si>
  <si>
    <t>Qtd (Unidades)</t>
  </si>
  <si>
    <t>Ticket Médio</t>
  </si>
  <si>
    <t>Receita (Vendas)</t>
  </si>
  <si>
    <t>Total</t>
  </si>
  <si>
    <t>-</t>
  </si>
  <si>
    <t>Custos totais</t>
  </si>
  <si>
    <t>Saldo</t>
  </si>
  <si>
    <t>Data</t>
  </si>
  <si>
    <t>Produto</t>
  </si>
  <si>
    <t>Qtd</t>
  </si>
  <si>
    <t>Forma de Pagamento</t>
  </si>
  <si>
    <t>Valor</t>
  </si>
  <si>
    <t>Bolo de Chocolate</t>
  </si>
  <si>
    <t>Pix</t>
  </si>
  <si>
    <t>Vendas</t>
  </si>
  <si>
    <t>Bolo de Chocolate Branco</t>
  </si>
  <si>
    <t>Dinheiro</t>
  </si>
  <si>
    <t>Outro</t>
  </si>
  <si>
    <t>Tipo de Bolo</t>
  </si>
  <si>
    <t>Bolo Stikadinho</t>
  </si>
  <si>
    <t>Insumos</t>
  </si>
  <si>
    <t>Ingrediente</t>
  </si>
  <si>
    <t>Embalagens</t>
  </si>
  <si>
    <t>Peso (g) ou volume(ml) /embalagem</t>
  </si>
  <si>
    <t>Preço TOTAL</t>
  </si>
  <si>
    <t>Quantidade Total  (g e ml)</t>
  </si>
  <si>
    <t>preço/g</t>
  </si>
  <si>
    <t>Manteiga</t>
  </si>
  <si>
    <t>Leite condensado</t>
  </si>
  <si>
    <t>Leite</t>
  </si>
  <si>
    <t>Chocolate amargo</t>
  </si>
  <si>
    <t>Farinha</t>
  </si>
  <si>
    <t>Chocolate em pó</t>
  </si>
  <si>
    <t>Nesquik</t>
  </si>
  <si>
    <t>Ovos</t>
  </si>
  <si>
    <t>Leite em pó</t>
  </si>
  <si>
    <t>Amido de Milho</t>
  </si>
  <si>
    <t>Creme de leite</t>
  </si>
  <si>
    <t>Essência de Baunilha</t>
  </si>
  <si>
    <t>Fermento</t>
  </si>
  <si>
    <t>Açúcar</t>
  </si>
  <si>
    <t>Total:</t>
  </si>
  <si>
    <t>Receitas</t>
  </si>
  <si>
    <t>Recheio Chocolate</t>
  </si>
  <si>
    <t>Recheio de chocolate branco</t>
  </si>
  <si>
    <t>Recheio Morango</t>
  </si>
  <si>
    <t>Ingredientes</t>
  </si>
  <si>
    <t>Quantidade(g e ml)</t>
  </si>
  <si>
    <t>Quantidade</t>
  </si>
  <si>
    <t>Creme de Leite</t>
  </si>
  <si>
    <t>Leite Condensado</t>
  </si>
  <si>
    <t>Amido de milho</t>
  </si>
  <si>
    <t xml:space="preserve">Total </t>
  </si>
  <si>
    <t>Essência de baunilha</t>
  </si>
  <si>
    <t>Quantos Vender pra sair no zero a zero?</t>
  </si>
  <si>
    <t>Bolo Chocolate</t>
  </si>
  <si>
    <t>Bolo Chocolate Branco</t>
  </si>
  <si>
    <t>Embalagem</t>
  </si>
  <si>
    <t>Adicional</t>
  </si>
  <si>
    <t>Produção (Receitas e unidades)</t>
  </si>
  <si>
    <t>Total (Bolos)</t>
  </si>
  <si>
    <t>Sabor</t>
  </si>
  <si>
    <t>Custos</t>
  </si>
  <si>
    <t>Ingredientes/Bolo</t>
  </si>
  <si>
    <t>Adicional/Bolo</t>
  </si>
  <si>
    <t>Custo/Bolo</t>
  </si>
  <si>
    <t>Custo Embalagem</t>
  </si>
  <si>
    <t>Custo Total Embalagem</t>
  </si>
  <si>
    <t>Margem Adicional</t>
  </si>
  <si>
    <t>Qtd Produzida</t>
  </si>
  <si>
    <t>Saída</t>
  </si>
  <si>
    <t>Mês do Relatório</t>
  </si>
  <si>
    <t>Resumo  Finanças</t>
  </si>
  <si>
    <t>Saídas</t>
  </si>
  <si>
    <t>Cadastro Vendas</t>
  </si>
  <si>
    <t>Bolos Produzidos</t>
  </si>
  <si>
    <t>Bolos Vendidos</t>
  </si>
  <si>
    <t>Excedente</t>
  </si>
  <si>
    <t>Mês e Ano do Relatório</t>
  </si>
  <si>
    <t>BreakEven</t>
  </si>
  <si>
    <t>Relatório do mês 6 de 2017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</si>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</sst>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[$R$ -416]#,##0.00"/>
    <numFmt numFmtId="165" formatCode="[$R$ -416]#,##0.000"/>
    <numFmt numFmtId="166" formatCode="&quot;R$&quot;\ #,##0.00"/>
  </numFmts>
  <fonts count="15" x14ac:knownFonts="1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sz val="10"/>
      <name val="Arial"/>
    </font>
    <font>
      <b/>
      <sz val="10"/>
      <color rgb="FFFFFFFF"/>
      <name val="Arial"/>
      <scheme val="minor"/>
    </font>
    <font>
      <sz val="10"/>
      <color theme="1"/>
      <name val="Arial"/>
      <scheme val="minor"/>
    </font>
    <font>
      <b/>
      <sz val="10"/>
      <color theme="0"/>
      <name val="Arial"/>
      <scheme val="minor"/>
    </font>
    <font>
      <sz val="10"/>
      <color rgb="FF000000"/>
      <name val="Arial"/>
      <scheme val="minor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9"/>
      <color indexed="81"/>
      <name val="Segoe UI"/>
      <charset val="1"/>
    </font>
    <font>
      <b/>
      <sz val="10"/>
      <color theme="1"/>
      <name val="Arial"/>
      <family val="2"/>
      <scheme val="minor"/>
    </font>
    <font>
      <sz val="8"/>
      <name val="Arial"/>
      <scheme val="minor"/>
    </font>
    <font>
      <b/>
      <sz val="10"/>
      <color rgb="FF000000"/>
      <name val="Arial"/>
      <family val="2"/>
      <scheme val="minor"/>
    </font>
    <font>
      <b/>
      <sz val="10"/>
      <name val="Arial"/>
      <family val="2"/>
    </font>
    <font>
      <sz val="8"/>
      <name val="Arial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D966"/>
        <bgColor rgb="FFFFD966"/>
      </patternFill>
    </fill>
    <fill>
      <patternFill patternType="solid">
        <fgColor rgb="FFCC0000"/>
        <bgColor rgb="FFCC0000"/>
      </patternFill>
    </fill>
    <fill>
      <patternFill patternType="solid">
        <fgColor rgb="FF6AA84F"/>
        <bgColor rgb="FF6AA84F"/>
      </patternFill>
    </fill>
    <fill>
      <patternFill patternType="solid">
        <fgColor rgb="FFFFE599"/>
        <bgColor rgb="FFFFE599"/>
      </patternFill>
    </fill>
    <fill>
      <patternFill patternType="solid">
        <fgColor rgb="FFA4C2F4"/>
        <bgColor rgb="FFA4C2F4"/>
      </patternFill>
    </fill>
    <fill>
      <patternFill patternType="solid">
        <fgColor rgb="FFCCCCCC"/>
        <bgColor rgb="FFCCCCCC"/>
      </patternFill>
    </fill>
    <fill>
      <patternFill patternType="solid">
        <fgColor rgb="FFEFEFEF"/>
        <bgColor rgb="FFEFEFEF"/>
      </patternFill>
    </fill>
    <fill>
      <patternFill patternType="solid">
        <fgColor rgb="FFC9DAF8"/>
        <bgColor rgb="FFC9DAF8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F4C7C3"/>
        <bgColor rgb="FFF4C7C3"/>
      </patternFill>
    </fill>
    <fill>
      <patternFill patternType="solid">
        <fgColor rgb="FFF4CCCC"/>
        <bgColor rgb="FFF4CCCC"/>
      </patternFill>
    </fill>
    <fill>
      <patternFill patternType="solid">
        <fgColor rgb="FFCFE2F3"/>
        <bgColor rgb="FFCFE2F3"/>
      </patternFill>
    </fill>
    <fill>
      <patternFill patternType="solid">
        <fgColor rgb="FF9FC5E8"/>
        <bgColor rgb="FF9FC5E8"/>
      </patternFill>
    </fill>
    <fill>
      <patternFill patternType="solid">
        <fgColor rgb="FFEA9999"/>
        <bgColor rgb="FFEA99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4" tint="0.59999389629810485"/>
        <bgColor rgb="FFF3F3F3"/>
      </patternFill>
    </fill>
    <fill>
      <patternFill patternType="solid">
        <fgColor theme="5" tint="0.39997558519241921"/>
        <bgColor rgb="FFCFE2F3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rgb="FFC9DAF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rgb="FFCFE2F3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rgb="FFD9D9D9"/>
      </patternFill>
    </fill>
  </fills>
  <borders count="53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98">
    <xf numFmtId="0" fontId="0" fillId="0" borderId="0" xfId="0" applyFont="1" applyAlignment="1"/>
    <xf numFmtId="0" fontId="1" fillId="5" borderId="3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1" fillId="7" borderId="8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64" fontId="4" fillId="10" borderId="8" xfId="0" applyNumberFormat="1" applyFont="1" applyFill="1" applyBorder="1"/>
    <xf numFmtId="0" fontId="1" fillId="11" borderId="3" xfId="0" applyFont="1" applyFill="1" applyBorder="1" applyAlignment="1">
      <alignment horizontal="center"/>
    </xf>
    <xf numFmtId="0" fontId="1" fillId="11" borderId="4" xfId="0" applyFont="1" applyFill="1" applyBorder="1" applyAlignment="1">
      <alignment horizontal="center"/>
    </xf>
    <xf numFmtId="164" fontId="4" fillId="8" borderId="8" xfId="0" applyNumberFormat="1" applyFont="1" applyFill="1" applyBorder="1"/>
    <xf numFmtId="0" fontId="1" fillId="13" borderId="9" xfId="0" applyFont="1" applyFill="1" applyBorder="1" applyAlignment="1">
      <alignment horizontal="center"/>
    </xf>
    <xf numFmtId="0" fontId="4" fillId="13" borderId="10" xfId="0" applyFont="1" applyFill="1" applyBorder="1" applyAlignment="1">
      <alignment horizontal="center"/>
    </xf>
    <xf numFmtId="0" fontId="4" fillId="0" borderId="0" xfId="0" applyFont="1" applyAlignment="1"/>
    <xf numFmtId="0" fontId="1" fillId="0" borderId="0" xfId="0" applyFont="1" applyAlignment="1"/>
    <xf numFmtId="164" fontId="4" fillId="0" borderId="0" xfId="0" applyNumberFormat="1" applyFont="1"/>
    <xf numFmtId="0" fontId="4" fillId="14" borderId="0" xfId="0" applyFont="1" applyFill="1" applyAlignment="1">
      <alignment horizontal="center"/>
    </xf>
    <xf numFmtId="164" fontId="4" fillId="14" borderId="0" xfId="0" applyNumberFormat="1" applyFont="1" applyFill="1" applyAlignment="1">
      <alignment horizontal="center"/>
    </xf>
    <xf numFmtId="0" fontId="4" fillId="0" borderId="8" xfId="0" applyFont="1" applyBorder="1" applyAlignment="1"/>
    <xf numFmtId="0" fontId="4" fillId="0" borderId="0" xfId="0" applyFont="1"/>
    <xf numFmtId="0" fontId="1" fillId="7" borderId="8" xfId="0" applyFont="1" applyFill="1" applyBorder="1" applyAlignment="1">
      <alignment horizontal="center"/>
    </xf>
    <xf numFmtId="0" fontId="4" fillId="14" borderId="8" xfId="0" applyFont="1" applyFill="1" applyBorder="1" applyAlignment="1">
      <alignment horizontal="center"/>
    </xf>
    <xf numFmtId="164" fontId="4" fillId="7" borderId="8" xfId="0" applyNumberFormat="1" applyFont="1" applyFill="1" applyBorder="1"/>
    <xf numFmtId="0" fontId="1" fillId="5" borderId="8" xfId="0" applyFont="1" applyFill="1" applyBorder="1" applyAlignment="1">
      <alignment horizontal="center"/>
    </xf>
    <xf numFmtId="164" fontId="1" fillId="5" borderId="8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11" borderId="8" xfId="0" applyFont="1" applyFill="1" applyBorder="1" applyAlignment="1">
      <alignment horizontal="center"/>
    </xf>
    <xf numFmtId="165" fontId="4" fillId="11" borderId="8" xfId="0" applyNumberFormat="1" applyFont="1" applyFill="1" applyBorder="1" applyAlignment="1">
      <alignment horizontal="center"/>
    </xf>
    <xf numFmtId="0" fontId="4" fillId="7" borderId="8" xfId="0" applyFont="1" applyFill="1" applyBorder="1" applyAlignment="1"/>
    <xf numFmtId="164" fontId="4" fillId="7" borderId="8" xfId="0" applyNumberFormat="1" applyFont="1" applyFill="1" applyBorder="1" applyAlignment="1">
      <alignment horizontal="center"/>
    </xf>
    <xf numFmtId="0" fontId="4" fillId="11" borderId="8" xfId="0" applyFont="1" applyFill="1" applyBorder="1" applyAlignment="1"/>
    <xf numFmtId="165" fontId="4" fillId="0" borderId="8" xfId="0" applyNumberFormat="1" applyFont="1" applyBorder="1"/>
    <xf numFmtId="0" fontId="4" fillId="0" borderId="19" xfId="0" applyFont="1" applyBorder="1"/>
    <xf numFmtId="165" fontId="4" fillId="16" borderId="8" xfId="0" applyNumberFormat="1" applyFont="1" applyFill="1" applyBorder="1"/>
    <xf numFmtId="0" fontId="4" fillId="7" borderId="8" xfId="0" applyFont="1" applyFill="1" applyBorder="1" applyAlignment="1">
      <alignment horizontal="center"/>
    </xf>
    <xf numFmtId="165" fontId="4" fillId="16" borderId="8" xfId="0" applyNumberFormat="1" applyFont="1" applyFill="1" applyBorder="1" applyAlignment="1"/>
    <xf numFmtId="0" fontId="4" fillId="0" borderId="18" xfId="0" applyFont="1" applyBorder="1"/>
    <xf numFmtId="0" fontId="0" fillId="0" borderId="0" xfId="0" applyFont="1" applyAlignment="1"/>
    <xf numFmtId="0" fontId="0" fillId="0" borderId="0" xfId="0" applyFont="1" applyBorder="1" applyAlignment="1"/>
    <xf numFmtId="1" fontId="4" fillId="0" borderId="23" xfId="0" applyNumberFormat="1" applyFont="1" applyBorder="1" applyAlignment="1">
      <alignment horizontal="center"/>
    </xf>
    <xf numFmtId="0" fontId="0" fillId="0" borderId="24" xfId="0" applyFont="1" applyBorder="1" applyAlignment="1"/>
    <xf numFmtId="0" fontId="0" fillId="0" borderId="21" xfId="0" applyFont="1" applyBorder="1" applyAlignment="1"/>
    <xf numFmtId="0" fontId="1" fillId="9" borderId="20" xfId="0" applyFont="1" applyFill="1" applyBorder="1" applyAlignment="1">
      <alignment horizontal="center"/>
    </xf>
    <xf numFmtId="0" fontId="1" fillId="9" borderId="25" xfId="0" applyFont="1" applyFill="1" applyBorder="1" applyAlignment="1">
      <alignment horizontal="center"/>
    </xf>
    <xf numFmtId="0" fontId="4" fillId="10" borderId="20" xfId="0" applyFont="1" applyFill="1" applyBorder="1" applyAlignment="1"/>
    <xf numFmtId="10" fontId="4" fillId="10" borderId="25" xfId="0" applyNumberFormat="1" applyFont="1" applyFill="1" applyBorder="1"/>
    <xf numFmtId="164" fontId="4" fillId="8" borderId="27" xfId="0" applyNumberFormat="1" applyFont="1" applyFill="1" applyBorder="1"/>
    <xf numFmtId="14" fontId="0" fillId="0" borderId="0" xfId="0" applyNumberFormat="1" applyFont="1" applyAlignment="1"/>
    <xf numFmtId="0" fontId="0" fillId="19" borderId="28" xfId="0" applyFont="1" applyFill="1" applyBorder="1" applyAlignment="1"/>
    <xf numFmtId="0" fontId="0" fillId="20" borderId="28" xfId="0" applyFont="1" applyFill="1" applyBorder="1" applyAlignment="1"/>
    <xf numFmtId="0" fontId="0" fillId="21" borderId="28" xfId="0" applyFont="1" applyFill="1" applyBorder="1" applyAlignment="1"/>
    <xf numFmtId="0" fontId="7" fillId="0" borderId="0" xfId="0" applyFont="1" applyAlignment="1"/>
    <xf numFmtId="0" fontId="4" fillId="10" borderId="26" xfId="0" applyFont="1" applyFill="1" applyBorder="1" applyAlignment="1"/>
    <xf numFmtId="164" fontId="4" fillId="10" borderId="27" xfId="0" applyNumberFormat="1" applyFont="1" applyFill="1" applyBorder="1"/>
    <xf numFmtId="10" fontId="4" fillId="10" borderId="30" xfId="0" applyNumberFormat="1" applyFont="1" applyFill="1" applyBorder="1"/>
    <xf numFmtId="0" fontId="0" fillId="0" borderId="0" xfId="0" applyFont="1" applyAlignment="1"/>
    <xf numFmtId="166" fontId="0" fillId="0" borderId="0" xfId="0" applyNumberFormat="1" applyFont="1" applyAlignment="1"/>
    <xf numFmtId="164" fontId="0" fillId="0" borderId="0" xfId="0" applyNumberFormat="1" applyFont="1" applyAlignment="1"/>
    <xf numFmtId="166" fontId="0" fillId="0" borderId="0" xfId="1" applyNumberFormat="1" applyFont="1" applyAlignment="1"/>
    <xf numFmtId="0" fontId="1" fillId="7" borderId="28" xfId="0" applyFont="1" applyFill="1" applyBorder="1" applyAlignment="1">
      <alignment horizontal="center"/>
    </xf>
    <xf numFmtId="164" fontId="4" fillId="8" borderId="28" xfId="0" applyNumberFormat="1" applyFont="1" applyFill="1" applyBorder="1" applyAlignment="1">
      <alignment horizontal="center"/>
    </xf>
    <xf numFmtId="0" fontId="1" fillId="11" borderId="28" xfId="0" applyFont="1" applyFill="1" applyBorder="1" applyAlignment="1">
      <alignment horizontal="center"/>
    </xf>
    <xf numFmtId="166" fontId="4" fillId="8" borderId="28" xfId="0" applyNumberFormat="1" applyFont="1" applyFill="1" applyBorder="1" applyAlignment="1"/>
    <xf numFmtId="164" fontId="4" fillId="10" borderId="28" xfId="0" applyNumberFormat="1" applyFont="1" applyFill="1" applyBorder="1" applyAlignment="1">
      <alignment horizontal="center"/>
    </xf>
    <xf numFmtId="0" fontId="1" fillId="7" borderId="31" xfId="0" applyFont="1" applyFill="1" applyBorder="1" applyAlignment="1">
      <alignment horizontal="center"/>
    </xf>
    <xf numFmtId="0" fontId="4" fillId="8" borderId="31" xfId="0" applyFont="1" applyFill="1" applyBorder="1" applyAlignment="1"/>
    <xf numFmtId="0" fontId="1" fillId="11" borderId="31" xfId="0" applyFont="1" applyFill="1" applyBorder="1" applyAlignment="1">
      <alignment horizontal="center"/>
    </xf>
    <xf numFmtId="0" fontId="1" fillId="11" borderId="32" xfId="0" applyFont="1" applyFill="1" applyBorder="1" applyAlignment="1">
      <alignment horizontal="center"/>
    </xf>
    <xf numFmtId="164" fontId="4" fillId="10" borderId="32" xfId="0" applyNumberFormat="1" applyFont="1" applyFill="1" applyBorder="1" applyAlignment="1">
      <alignment horizontal="center"/>
    </xf>
    <xf numFmtId="166" fontId="0" fillId="0" borderId="32" xfId="0" applyNumberFormat="1" applyFont="1" applyBorder="1" applyAlignment="1"/>
    <xf numFmtId="14" fontId="0" fillId="21" borderId="28" xfId="0" applyNumberFormat="1" applyFont="1" applyFill="1" applyBorder="1" applyAlignment="1"/>
    <xf numFmtId="0" fontId="10" fillId="12" borderId="33" xfId="0" applyFont="1" applyFill="1" applyBorder="1" applyAlignment="1">
      <alignment horizontal="center"/>
    </xf>
    <xf numFmtId="166" fontId="4" fillId="12" borderId="34" xfId="0" applyNumberFormat="1" applyFont="1" applyFill="1" applyBorder="1" applyAlignment="1">
      <alignment horizontal="center"/>
    </xf>
    <xf numFmtId="0" fontId="4" fillId="12" borderId="34" xfId="0" applyFont="1" applyFill="1" applyBorder="1" applyAlignment="1">
      <alignment horizontal="center"/>
    </xf>
    <xf numFmtId="164" fontId="4" fillId="12" borderId="35" xfId="0" applyNumberFormat="1" applyFont="1" applyFill="1" applyBorder="1" applyAlignment="1">
      <alignment horizontal="center"/>
    </xf>
    <xf numFmtId="166" fontId="0" fillId="20" borderId="28" xfId="1" applyNumberFormat="1" applyFont="1" applyFill="1" applyBorder="1" applyAlignment="1"/>
    <xf numFmtId="0" fontId="1" fillId="7" borderId="32" xfId="0" applyFont="1" applyFill="1" applyBorder="1" applyAlignment="1">
      <alignment horizontal="center"/>
    </xf>
    <xf numFmtId="164" fontId="4" fillId="8" borderId="32" xfId="0" applyNumberFormat="1" applyFont="1" applyFill="1" applyBorder="1" applyAlignment="1">
      <alignment horizontal="center"/>
    </xf>
    <xf numFmtId="0" fontId="10" fillId="22" borderId="31" xfId="0" applyFont="1" applyFill="1" applyBorder="1" applyAlignment="1">
      <alignment horizontal="center"/>
    </xf>
    <xf numFmtId="0" fontId="0" fillId="0" borderId="0" xfId="0" applyFont="1" applyAlignment="1"/>
    <xf numFmtId="0" fontId="4" fillId="23" borderId="0" xfId="0" applyFont="1" applyFill="1" applyAlignment="1">
      <alignment horizontal="center"/>
    </xf>
    <xf numFmtId="0" fontId="0" fillId="18" borderId="0" xfId="0" applyFont="1" applyFill="1" applyAlignment="1"/>
    <xf numFmtId="14" fontId="4" fillId="23" borderId="0" xfId="0" applyNumberFormat="1" applyFont="1" applyFill="1" applyAlignment="1">
      <alignment horizontal="center"/>
    </xf>
    <xf numFmtId="0" fontId="0" fillId="0" borderId="0" xfId="0" applyFont="1" applyAlignment="1">
      <alignment horizontal="center"/>
    </xf>
    <xf numFmtId="14" fontId="4" fillId="14" borderId="0" xfId="0" applyNumberFormat="1" applyFont="1" applyFill="1" applyAlignment="1">
      <alignment horizontal="center"/>
    </xf>
    <xf numFmtId="0" fontId="10" fillId="9" borderId="20" xfId="0" applyFont="1" applyFill="1" applyBorder="1" applyAlignment="1">
      <alignment horizontal="left"/>
    </xf>
    <xf numFmtId="0" fontId="10" fillId="9" borderId="26" xfId="0" applyFont="1" applyFill="1" applyBorder="1" applyAlignment="1">
      <alignment horizontal="left"/>
    </xf>
    <xf numFmtId="0" fontId="0" fillId="0" borderId="36" xfId="0" applyFont="1" applyBorder="1" applyAlignment="1"/>
    <xf numFmtId="0" fontId="10" fillId="7" borderId="8" xfId="0" applyFont="1" applyFill="1" applyBorder="1" applyAlignment="1">
      <alignment horizontal="center"/>
    </xf>
    <xf numFmtId="0" fontId="10" fillId="9" borderId="8" xfId="0" applyFont="1" applyFill="1" applyBorder="1" applyAlignment="1">
      <alignment horizontal="center"/>
    </xf>
    <xf numFmtId="0" fontId="10" fillId="9" borderId="20" xfId="0" applyFont="1" applyFill="1" applyBorder="1" applyAlignment="1">
      <alignment horizontal="center"/>
    </xf>
    <xf numFmtId="0" fontId="4" fillId="0" borderId="20" xfId="0" applyFont="1" applyBorder="1" applyAlignment="1"/>
    <xf numFmtId="164" fontId="4" fillId="0" borderId="25" xfId="0" applyNumberFormat="1" applyFont="1" applyBorder="1"/>
    <xf numFmtId="0" fontId="1" fillId="7" borderId="20" xfId="0" applyFont="1" applyFill="1" applyBorder="1" applyAlignment="1">
      <alignment horizontal="center"/>
    </xf>
    <xf numFmtId="164" fontId="1" fillId="7" borderId="25" xfId="0" applyNumberFormat="1" applyFont="1" applyFill="1" applyBorder="1"/>
    <xf numFmtId="0" fontId="4" fillId="14" borderId="20" xfId="0" applyFont="1" applyFill="1" applyBorder="1" applyAlignment="1">
      <alignment horizontal="center"/>
    </xf>
    <xf numFmtId="0" fontId="4" fillId="14" borderId="25" xfId="0" applyFont="1" applyFill="1" applyBorder="1" applyAlignment="1">
      <alignment horizontal="center"/>
    </xf>
    <xf numFmtId="164" fontId="10" fillId="7" borderId="25" xfId="0" applyNumberFormat="1" applyFont="1" applyFill="1" applyBorder="1"/>
    <xf numFmtId="0" fontId="1" fillId="6" borderId="40" xfId="0" applyFont="1" applyFill="1" applyBorder="1" applyAlignment="1">
      <alignment horizontal="center"/>
    </xf>
    <xf numFmtId="0" fontId="1" fillId="6" borderId="41" xfId="0" applyFont="1" applyFill="1" applyBorder="1" applyAlignment="1">
      <alignment horizontal="center"/>
    </xf>
    <xf numFmtId="0" fontId="10" fillId="25" borderId="20" xfId="0" applyFont="1" applyFill="1" applyBorder="1" applyAlignment="1">
      <alignment horizontal="left"/>
    </xf>
    <xf numFmtId="14" fontId="12" fillId="24" borderId="39" xfId="0" applyNumberFormat="1" applyFont="1" applyFill="1" applyBorder="1" applyAlignment="1">
      <alignment horizontal="center"/>
    </xf>
    <xf numFmtId="14" fontId="10" fillId="27" borderId="0" xfId="0" applyNumberFormat="1" applyFont="1" applyFill="1" applyAlignment="1">
      <alignment horizontal="center"/>
    </xf>
    <xf numFmtId="0" fontId="12" fillId="20" borderId="0" xfId="0" applyFont="1" applyFill="1" applyAlignment="1"/>
    <xf numFmtId="164" fontId="10" fillId="9" borderId="13" xfId="0" applyNumberFormat="1" applyFont="1" applyFill="1" applyBorder="1" applyAlignment="1">
      <alignment horizontal="center"/>
    </xf>
    <xf numFmtId="164" fontId="4" fillId="0" borderId="13" xfId="0" applyNumberFormat="1" applyFont="1" applyBorder="1"/>
    <xf numFmtId="0" fontId="12" fillId="17" borderId="37" xfId="0" applyFont="1" applyFill="1" applyBorder="1" applyAlignment="1">
      <alignment horizontal="center"/>
    </xf>
    <xf numFmtId="0" fontId="12" fillId="17" borderId="31" xfId="0" applyFont="1" applyFill="1" applyBorder="1" applyAlignment="1">
      <alignment horizontal="center"/>
    </xf>
    <xf numFmtId="0" fontId="12" fillId="17" borderId="33" xfId="0" applyFont="1" applyFill="1" applyBorder="1" applyAlignment="1">
      <alignment horizontal="center"/>
    </xf>
    <xf numFmtId="0" fontId="0" fillId="0" borderId="38" xfId="0" applyNumberFormat="1" applyFont="1" applyBorder="1" applyAlignment="1"/>
    <xf numFmtId="0" fontId="0" fillId="0" borderId="32" xfId="0" applyNumberFormat="1" applyFont="1" applyBorder="1" applyAlignment="1"/>
    <xf numFmtId="0" fontId="0" fillId="0" borderId="35" xfId="0" applyNumberFormat="1" applyFont="1" applyBorder="1" applyAlignment="1"/>
    <xf numFmtId="166" fontId="10" fillId="27" borderId="0" xfId="1" applyNumberFormat="1" applyFont="1" applyFill="1" applyAlignment="1">
      <alignment horizontal="center"/>
    </xf>
    <xf numFmtId="166" fontId="4" fillId="0" borderId="0" xfId="1" applyNumberFormat="1" applyFont="1"/>
    <xf numFmtId="0" fontId="0" fillId="0" borderId="0" xfId="0" applyFont="1" applyAlignment="1"/>
    <xf numFmtId="0" fontId="0" fillId="0" borderId="0" xfId="0" applyFont="1" applyAlignment="1"/>
    <xf numFmtId="14" fontId="4" fillId="14" borderId="28" xfId="0" applyNumberFormat="1" applyFont="1" applyFill="1" applyBorder="1" applyAlignment="1">
      <alignment horizontal="center"/>
    </xf>
    <xf numFmtId="0" fontId="4" fillId="14" borderId="28" xfId="0" applyFont="1" applyFill="1" applyBorder="1" applyAlignment="1">
      <alignment horizontal="center"/>
    </xf>
    <xf numFmtId="164" fontId="4" fillId="14" borderId="28" xfId="0" applyNumberFormat="1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1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164" fontId="4" fillId="0" borderId="0" xfId="0" applyNumberFormat="1" applyFont="1" applyBorder="1" applyAlignment="1">
      <alignment vertical="center"/>
    </xf>
    <xf numFmtId="166" fontId="4" fillId="0" borderId="0" xfId="0" applyNumberFormat="1" applyFont="1" applyBorder="1" applyAlignment="1">
      <alignment vertical="center"/>
    </xf>
    <xf numFmtId="0" fontId="0" fillId="0" borderId="0" xfId="0" applyFont="1" applyBorder="1" applyAlignment="1">
      <alignment vertical="center"/>
    </xf>
    <xf numFmtId="166" fontId="0" fillId="0" borderId="0" xfId="0" applyNumberFormat="1" applyFont="1" applyBorder="1" applyAlignment="1">
      <alignment vertical="center"/>
    </xf>
    <xf numFmtId="0" fontId="0" fillId="20" borderId="49" xfId="0" applyFont="1" applyFill="1" applyBorder="1" applyAlignment="1"/>
    <xf numFmtId="1" fontId="0" fillId="0" borderId="0" xfId="0" applyNumberFormat="1" applyFont="1" applyAlignment="1"/>
    <xf numFmtId="0" fontId="0" fillId="20" borderId="28" xfId="1" applyNumberFormat="1" applyFont="1" applyFill="1" applyBorder="1" applyAlignment="1"/>
    <xf numFmtId="0" fontId="0" fillId="0" borderId="0" xfId="1" applyNumberFormat="1" applyFont="1" applyAlignment="1"/>
    <xf numFmtId="164" fontId="0" fillId="0" borderId="0" xfId="1" applyNumberFormat="1" applyFont="1" applyAlignment="1"/>
    <xf numFmtId="1" fontId="0" fillId="0" borderId="0" xfId="1" applyNumberFormat="1" applyFont="1" applyAlignment="1"/>
    <xf numFmtId="0" fontId="0" fillId="28" borderId="28" xfId="0" applyFont="1" applyFill="1" applyBorder="1" applyAlignment="1"/>
    <xf numFmtId="0" fontId="0" fillId="28" borderId="28" xfId="0" applyFont="1" applyFill="1" applyBorder="1" applyAlignment="1">
      <alignment horizontal="center"/>
    </xf>
    <xf numFmtId="164" fontId="0" fillId="28" borderId="28" xfId="0" applyNumberFormat="1" applyFont="1" applyFill="1" applyBorder="1" applyAlignment="1">
      <alignment horizontal="center"/>
    </xf>
    <xf numFmtId="0" fontId="1" fillId="5" borderId="3" xfId="0" applyFont="1" applyFill="1" applyBorder="1" applyAlignment="1">
      <alignment horizontal="left"/>
    </xf>
    <xf numFmtId="0" fontId="12" fillId="0" borderId="0" xfId="0" applyFont="1" applyAlignment="1"/>
    <xf numFmtId="0" fontId="10" fillId="11" borderId="8" xfId="0" applyFont="1" applyFill="1" applyBorder="1" applyAlignment="1"/>
    <xf numFmtId="0" fontId="10" fillId="30" borderId="8" xfId="0" applyFont="1" applyFill="1" applyBorder="1" applyAlignment="1"/>
    <xf numFmtId="0" fontId="10" fillId="11" borderId="8" xfId="0" applyFont="1" applyFill="1" applyBorder="1" applyAlignment="1">
      <alignment horizontal="center"/>
    </xf>
    <xf numFmtId="0" fontId="0" fillId="0" borderId="0" xfId="0" applyFont="1" applyAlignment="1">
      <alignment horizontal="right"/>
    </xf>
    <xf numFmtId="0" fontId="12" fillId="17" borderId="28" xfId="0" applyFont="1" applyFill="1" applyBorder="1" applyAlignment="1">
      <alignment horizontal="center" vertical="center"/>
    </xf>
    <xf numFmtId="14" fontId="12" fillId="26" borderId="0" xfId="0" applyNumberFormat="1" applyFont="1" applyFill="1" applyAlignment="1">
      <alignment horizontal="center"/>
    </xf>
    <xf numFmtId="14" fontId="12" fillId="17" borderId="0" xfId="0" applyNumberFormat="1" applyFont="1" applyFill="1" applyAlignment="1">
      <alignment horizontal="center"/>
    </xf>
    <xf numFmtId="0" fontId="12" fillId="18" borderId="0" xfId="0" applyFont="1" applyFill="1" applyAlignment="1">
      <alignment horizontal="center"/>
    </xf>
    <xf numFmtId="0" fontId="0" fillId="18" borderId="29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Font="1" applyAlignment="1"/>
    <xf numFmtId="0" fontId="1" fillId="6" borderId="5" xfId="0" applyFont="1" applyFill="1" applyBorder="1" applyAlignment="1">
      <alignment horizontal="center"/>
    </xf>
    <xf numFmtId="0" fontId="2" fillId="0" borderId="7" xfId="0" applyFont="1" applyBorder="1"/>
    <xf numFmtId="0" fontId="1" fillId="2" borderId="1" xfId="0" applyFont="1" applyFill="1" applyBorder="1" applyAlignment="1">
      <alignment horizontal="center"/>
    </xf>
    <xf numFmtId="0" fontId="2" fillId="0" borderId="2" xfId="0" applyFont="1" applyBorder="1"/>
    <xf numFmtId="0" fontId="0" fillId="17" borderId="0" xfId="0" applyFont="1" applyFill="1" applyAlignment="1">
      <alignment horizontal="center"/>
    </xf>
    <xf numFmtId="0" fontId="4" fillId="9" borderId="22" xfId="0" applyFont="1" applyFill="1" applyBorder="1" applyAlignment="1">
      <alignment horizontal="center"/>
    </xf>
    <xf numFmtId="0" fontId="4" fillId="9" borderId="11" xfId="0" applyFont="1" applyFill="1" applyBorder="1" applyAlignment="1">
      <alignment horizontal="center"/>
    </xf>
    <xf numFmtId="0" fontId="4" fillId="9" borderId="12" xfId="0" applyFont="1" applyFill="1" applyBorder="1" applyAlignment="1">
      <alignment horizontal="center"/>
    </xf>
    <xf numFmtId="0" fontId="3" fillId="3" borderId="43" xfId="0" applyFont="1" applyFill="1" applyBorder="1" applyAlignment="1">
      <alignment horizontal="center"/>
    </xf>
    <xf numFmtId="0" fontId="3" fillId="3" borderId="44" xfId="0" applyFont="1" applyFill="1" applyBorder="1" applyAlignment="1">
      <alignment horizontal="center"/>
    </xf>
    <xf numFmtId="0" fontId="3" fillId="3" borderId="45" xfId="0" applyFont="1" applyFill="1" applyBorder="1" applyAlignment="1">
      <alignment horizontal="center"/>
    </xf>
    <xf numFmtId="0" fontId="1" fillId="6" borderId="50" xfId="0" applyFont="1" applyFill="1" applyBorder="1" applyAlignment="1">
      <alignment horizontal="center"/>
    </xf>
    <xf numFmtId="0" fontId="1" fillId="6" borderId="51" xfId="0" applyFont="1" applyFill="1" applyBorder="1" applyAlignment="1">
      <alignment horizontal="center"/>
    </xf>
    <xf numFmtId="0" fontId="1" fillId="6" borderId="52" xfId="0" applyFont="1" applyFill="1" applyBorder="1" applyAlignment="1">
      <alignment horizontal="center"/>
    </xf>
    <xf numFmtId="0" fontId="5" fillId="4" borderId="40" xfId="0" applyFont="1" applyFill="1" applyBorder="1" applyAlignment="1">
      <alignment horizontal="center"/>
    </xf>
    <xf numFmtId="0" fontId="5" fillId="4" borderId="41" xfId="0" applyFont="1" applyFill="1" applyBorder="1" applyAlignment="1">
      <alignment horizontal="center"/>
    </xf>
    <xf numFmtId="0" fontId="5" fillId="4" borderId="42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2" fillId="0" borderId="6" xfId="0" applyFont="1" applyBorder="1"/>
    <xf numFmtId="0" fontId="2" fillId="0" borderId="14" xfId="0" applyFont="1" applyBorder="1"/>
    <xf numFmtId="0" fontId="10" fillId="7" borderId="13" xfId="0" applyFont="1" applyFill="1" applyBorder="1" applyAlignment="1">
      <alignment horizontal="center"/>
    </xf>
    <xf numFmtId="0" fontId="13" fillId="0" borderId="6" xfId="0" applyFont="1" applyBorder="1"/>
    <xf numFmtId="0" fontId="13" fillId="0" borderId="14" xfId="0" applyFont="1" applyBorder="1"/>
    <xf numFmtId="0" fontId="1" fillId="6" borderId="15" xfId="0" applyFont="1" applyFill="1" applyBorder="1" applyAlignment="1">
      <alignment horizontal="center" vertical="center"/>
    </xf>
    <xf numFmtId="0" fontId="2" fillId="0" borderId="16" xfId="0" applyFont="1" applyBorder="1"/>
    <xf numFmtId="0" fontId="2" fillId="0" borderId="17" xfId="0" applyFont="1" applyBorder="1"/>
    <xf numFmtId="0" fontId="2" fillId="0" borderId="18" xfId="0" applyFont="1" applyBorder="1"/>
    <xf numFmtId="0" fontId="2" fillId="0" borderId="19" xfId="0" applyFont="1" applyBorder="1"/>
    <xf numFmtId="166" fontId="0" fillId="18" borderId="29" xfId="1" applyNumberFormat="1" applyFont="1" applyFill="1" applyBorder="1" applyAlignment="1">
      <alignment horizontal="center"/>
    </xf>
    <xf numFmtId="14" fontId="4" fillId="0" borderId="28" xfId="0" applyNumberFormat="1" applyFont="1" applyBorder="1" applyAlignment="1" applyProtection="1">
      <alignment horizontal="center" vertical="center"/>
      <protection locked="0"/>
    </xf>
    <xf numFmtId="0" fontId="4" fillId="0" borderId="28" xfId="0" applyFont="1" applyBorder="1" applyAlignment="1" applyProtection="1">
      <alignment vertical="center"/>
      <protection locked="0"/>
    </xf>
    <xf numFmtId="0" fontId="4" fillId="0" borderId="28" xfId="0" applyFont="1" applyBorder="1" applyAlignment="1" applyProtection="1">
      <alignment horizontal="center" vertical="center"/>
      <protection locked="0"/>
    </xf>
    <xf numFmtId="164" fontId="4" fillId="0" borderId="28" xfId="0" applyNumberFormat="1" applyFont="1" applyBorder="1" applyAlignment="1" applyProtection="1">
      <alignment vertical="center"/>
      <protection locked="0"/>
    </xf>
    <xf numFmtId="166" fontId="4" fillId="0" borderId="28" xfId="0" applyNumberFormat="1" applyFont="1" applyBorder="1" applyAlignment="1" applyProtection="1">
      <alignment vertical="center"/>
      <protection locked="0"/>
    </xf>
    <xf numFmtId="0" fontId="0" fillId="0" borderId="28" xfId="0" applyFont="1" applyBorder="1" applyAlignment="1" applyProtection="1">
      <alignment vertical="center"/>
      <protection locked="0"/>
    </xf>
    <xf numFmtId="166" fontId="0" fillId="0" borderId="28" xfId="0" applyNumberFormat="1" applyFont="1" applyBorder="1" applyAlignment="1" applyProtection="1">
      <alignment vertical="center"/>
      <protection locked="0"/>
    </xf>
    <xf numFmtId="0" fontId="12" fillId="0" borderId="46" xfId="0" applyFont="1" applyBorder="1" applyAlignment="1" applyProtection="1">
      <alignment horizontal="center"/>
      <protection locked="0"/>
    </xf>
    <xf numFmtId="0" fontId="0" fillId="0" borderId="48" xfId="0" applyFont="1" applyBorder="1" applyAlignment="1" applyProtection="1">
      <protection locked="0"/>
    </xf>
    <xf numFmtId="14" fontId="8" fillId="0" borderId="4" xfId="0" applyNumberFormat="1" applyFont="1" applyBorder="1" applyAlignment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164" fontId="4" fillId="0" borderId="32" xfId="0" applyNumberFormat="1" applyFont="1" applyBorder="1" applyAlignment="1" applyProtection="1">
      <alignment horizontal="center"/>
      <protection locked="0"/>
    </xf>
    <xf numFmtId="9" fontId="4" fillId="0" borderId="32" xfId="0" applyNumberFormat="1" applyFont="1" applyBorder="1" applyAlignment="1" applyProtection="1">
      <alignment horizontal="center"/>
      <protection locked="0"/>
    </xf>
    <xf numFmtId="164" fontId="4" fillId="0" borderId="8" xfId="0" applyNumberFormat="1" applyFont="1" applyBorder="1" applyAlignment="1" applyProtection="1">
      <alignment horizontal="center"/>
      <protection locked="0"/>
    </xf>
    <xf numFmtId="0" fontId="4" fillId="0" borderId="8" xfId="0" applyFont="1" applyBorder="1" applyAlignment="1" applyProtection="1">
      <protection locked="0"/>
    </xf>
    <xf numFmtId="0" fontId="4" fillId="0" borderId="8" xfId="0" applyFont="1" applyBorder="1" applyAlignment="1" applyProtection="1">
      <alignment horizontal="center"/>
      <protection locked="0"/>
    </xf>
    <xf numFmtId="0" fontId="4" fillId="0" borderId="8" xfId="0" applyFont="1" applyBorder="1" applyProtection="1">
      <protection locked="0"/>
    </xf>
    <xf numFmtId="164" fontId="4" fillId="0" borderId="8" xfId="0" applyNumberFormat="1" applyFont="1" applyBorder="1" applyProtection="1">
      <protection locked="0"/>
    </xf>
    <xf numFmtId="0" fontId="4" fillId="29" borderId="8" xfId="0" applyFont="1" applyFill="1" applyBorder="1" applyAlignment="1" applyProtection="1">
      <protection locked="0"/>
    </xf>
    <xf numFmtId="14" fontId="0" fillId="0" borderId="0" xfId="0" applyNumberFormat="1" applyFont="1" applyAlignment="1">
      <alignment horizontal="center"/>
    </xf>
  </cellXfs>
  <cellStyles count="2">
    <cellStyle name="Moeda" xfId="1" builtinId="4"/>
    <cellStyle name="Normal" xfId="0" builtinId="0"/>
  </cellStyles>
  <dxfs count="2">
    <dxf>
      <font>
        <b/>
        <color rgb="FF0B8043"/>
      </font>
      <fill>
        <patternFill patternType="none"/>
      </fill>
    </dxf>
    <dxf>
      <font>
        <b/>
        <color rgb="FFC53929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3</xdr:row>
      <xdr:rowOff>66675</xdr:rowOff>
    </xdr:from>
    <xdr:to>
      <xdr:col>8</xdr:col>
      <xdr:colOff>276225</xdr:colOff>
      <xdr:row>6</xdr:row>
      <xdr:rowOff>19050</xdr:rowOff>
    </xdr:to>
    <xdr:sp macro="[0]!Rgst_Vend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7EB5B04-EA05-4598-BD90-2BAB6094AE16}"/>
            </a:ext>
          </a:extLst>
        </xdr:cNvPr>
        <xdr:cNvSpPr/>
      </xdr:nvSpPr>
      <xdr:spPr>
        <a:xfrm>
          <a:off x="14144625" y="4162425"/>
          <a:ext cx="1876425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100" b="1"/>
            <a:t>Registrar</a:t>
          </a:r>
          <a:endParaRPr lang="pt-BR" sz="1100" b="1" baseline="0"/>
        </a:p>
      </xdr:txBody>
    </xdr:sp>
    <xdr:clientData/>
  </xdr:twoCellAnchor>
  <xdr:twoCellAnchor>
    <xdr:from>
      <xdr:col>6</xdr:col>
      <xdr:colOff>95250</xdr:colOff>
      <xdr:row>7</xdr:row>
      <xdr:rowOff>28575</xdr:rowOff>
    </xdr:from>
    <xdr:to>
      <xdr:col>8</xdr:col>
      <xdr:colOff>295275</xdr:colOff>
      <xdr:row>9</xdr:row>
      <xdr:rowOff>142875</xdr:rowOff>
    </xdr:to>
    <xdr:sp macro="[0]!Limpar_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3DA9301-1D2F-417D-8147-3654F1E0F435}"/>
            </a:ext>
          </a:extLst>
        </xdr:cNvPr>
        <xdr:cNvSpPr/>
      </xdr:nvSpPr>
      <xdr:spPr>
        <a:xfrm>
          <a:off x="14163675" y="4772025"/>
          <a:ext cx="1876425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100" b="1" baseline="0"/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142875</xdr:rowOff>
    </xdr:from>
    <xdr:to>
      <xdr:col>11</xdr:col>
      <xdr:colOff>419100</xdr:colOff>
      <xdr:row>3</xdr:row>
      <xdr:rowOff>95250</xdr:rowOff>
    </xdr:to>
    <xdr:sp macro="[0]!Atualizar_Relator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2A32468-F61C-4FC0-A193-6EA4506DCF33}"/>
            </a:ext>
          </a:extLst>
        </xdr:cNvPr>
        <xdr:cNvSpPr/>
      </xdr:nvSpPr>
      <xdr:spPr>
        <a:xfrm>
          <a:off x="7610475" y="142875"/>
          <a:ext cx="1952625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100" b="1"/>
            <a:t>Atualizar Relatório</a:t>
          </a:r>
          <a:endParaRPr lang="pt-BR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104776</xdr:colOff>
      <xdr:row>0</xdr:row>
      <xdr:rowOff>142875</xdr:rowOff>
    </xdr:from>
    <xdr:ext cx="1733550" cy="514350"/>
    <xdr:sp macro="[0]!Rgst_Batch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E40BCB8-9897-A03C-2469-235958FF1C36}"/>
            </a:ext>
          </a:extLst>
        </xdr:cNvPr>
        <xdr:cNvSpPr/>
      </xdr:nvSpPr>
      <xdr:spPr>
        <a:xfrm>
          <a:off x="2276476" y="142875"/>
          <a:ext cx="1733550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>
          <a:noAutofit/>
        </a:bodyPr>
        <a:lstStyle/>
        <a:p>
          <a:pPr lvl="0" algn="ctr"/>
          <a:r>
            <a:rPr lang="pt-BR" sz="1100"/>
            <a:t>Registrar </a:t>
          </a:r>
        </a:p>
      </xdr:txBody>
    </xdr:sp>
    <xdr:clientData/>
  </xdr:oneCellAnchor>
  <xdr:oneCellAnchor>
    <xdr:from>
      <xdr:col>2</xdr:col>
      <xdr:colOff>114299</xdr:colOff>
      <xdr:row>4</xdr:row>
      <xdr:rowOff>142874</xdr:rowOff>
    </xdr:from>
    <xdr:ext cx="1724025" cy="523875"/>
    <xdr:sp macro="[0]!Limpar_Pro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3B00BA7-66B1-45DD-A91E-6EFBA2C733EC}"/>
            </a:ext>
          </a:extLst>
        </xdr:cNvPr>
        <xdr:cNvSpPr/>
      </xdr:nvSpPr>
      <xdr:spPr>
        <a:xfrm>
          <a:off x="2285999" y="800099"/>
          <a:ext cx="1724025" cy="52387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 anchorCtr="0">
          <a:noAutofit/>
        </a:bodyPr>
        <a:lstStyle/>
        <a:p>
          <a:pPr lvl="0" algn="ctr"/>
          <a:r>
            <a:rPr lang="pt-BR" sz="1100" b="1">
              <a:solidFill>
                <a:schemeClr val="bg1"/>
              </a:solidFill>
            </a:rPr>
            <a:t>Limpar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285F4-EDB1-4A4C-8799-56D87BC9BE66}">
  <sheetPr codeName="ShtCadastro"/>
  <dimension ref="A1:H15"/>
  <sheetViews>
    <sheetView showGridLines="0" workbookViewId="0">
      <selection activeCell="B11" sqref="B11"/>
    </sheetView>
  </sheetViews>
  <sheetFormatPr defaultRowHeight="12.75" x14ac:dyDescent="0.2"/>
  <cols>
    <col min="1" max="1" width="10.140625" bestFit="1" customWidth="1"/>
    <col min="2" max="2" width="23" bestFit="1" customWidth="1"/>
    <col min="4" max="4" width="19.140625" bestFit="1" customWidth="1"/>
    <col min="5" max="5" width="9" customWidth="1"/>
  </cols>
  <sheetData>
    <row r="1" spans="1:8" x14ac:dyDescent="0.2">
      <c r="A1" s="142" t="s">
        <v>96</v>
      </c>
      <c r="B1" s="142"/>
      <c r="C1" s="142"/>
      <c r="D1" s="142"/>
      <c r="E1" s="142"/>
      <c r="F1" s="47"/>
      <c r="G1" s="55"/>
      <c r="H1" s="55"/>
    </row>
    <row r="2" spans="1:8" x14ac:dyDescent="0.2">
      <c r="A2" s="116" t="s">
        <v>29</v>
      </c>
      <c r="B2" s="117" t="s">
        <v>30</v>
      </c>
      <c r="C2" s="117" t="s">
        <v>31</v>
      </c>
      <c r="D2" s="117" t="s">
        <v>32</v>
      </c>
      <c r="E2" s="118" t="s">
        <v>33</v>
      </c>
      <c r="F2" s="47"/>
      <c r="G2" s="55"/>
      <c r="H2" s="55"/>
    </row>
    <row r="3" spans="1:8" x14ac:dyDescent="0.2">
      <c r="A3" s="178"/>
      <c r="B3" s="179"/>
      <c r="C3" s="180"/>
      <c r="D3" s="179"/>
      <c r="E3" s="181"/>
      <c r="G3" s="55"/>
      <c r="H3" s="55"/>
    </row>
    <row r="4" spans="1:8" x14ac:dyDescent="0.2">
      <c r="A4" s="178"/>
      <c r="B4" s="179"/>
      <c r="C4" s="180"/>
      <c r="D4" s="179"/>
      <c r="E4" s="182"/>
      <c r="G4" s="55"/>
      <c r="H4" s="55"/>
    </row>
    <row r="5" spans="1:8" x14ac:dyDescent="0.2">
      <c r="A5" s="178"/>
      <c r="B5" s="179"/>
      <c r="C5" s="180"/>
      <c r="D5" s="179"/>
      <c r="E5" s="182"/>
    </row>
    <row r="6" spans="1:8" x14ac:dyDescent="0.2">
      <c r="A6" s="178"/>
      <c r="B6" s="179"/>
      <c r="C6" s="180"/>
      <c r="D6" s="179"/>
      <c r="E6" s="182"/>
      <c r="G6" s="55"/>
      <c r="H6" s="55"/>
    </row>
    <row r="7" spans="1:8" x14ac:dyDescent="0.2">
      <c r="A7" s="178"/>
      <c r="B7" s="179"/>
      <c r="C7" s="180"/>
      <c r="D7" s="179"/>
      <c r="E7" s="182"/>
    </row>
    <row r="8" spans="1:8" x14ac:dyDescent="0.2">
      <c r="A8" s="178"/>
      <c r="B8" s="183"/>
      <c r="C8" s="180"/>
      <c r="D8" s="183"/>
      <c r="E8" s="184"/>
      <c r="G8" s="55"/>
      <c r="H8" s="55"/>
    </row>
    <row r="9" spans="1:8" x14ac:dyDescent="0.2">
      <c r="A9" s="178"/>
      <c r="B9" s="183"/>
      <c r="C9" s="180"/>
      <c r="D9" s="183"/>
      <c r="E9" s="184"/>
    </row>
    <row r="10" spans="1:8" x14ac:dyDescent="0.2">
      <c r="A10" s="183"/>
      <c r="B10" s="183"/>
      <c r="C10" s="183"/>
      <c r="D10" s="183"/>
      <c r="E10" s="184"/>
      <c r="G10" s="55"/>
      <c r="H10" s="55"/>
    </row>
    <row r="11" spans="1:8" x14ac:dyDescent="0.2">
      <c r="A11" s="183"/>
      <c r="B11" s="183"/>
      <c r="C11" s="183"/>
      <c r="D11" s="183"/>
      <c r="E11" s="184"/>
    </row>
    <row r="12" spans="1:8" x14ac:dyDescent="0.2">
      <c r="A12" s="183"/>
      <c r="B12" s="183"/>
      <c r="C12" s="183"/>
      <c r="D12" s="183"/>
      <c r="E12" s="184"/>
      <c r="G12" s="55"/>
      <c r="H12" s="55"/>
    </row>
    <row r="13" spans="1:8" x14ac:dyDescent="0.2">
      <c r="A13" s="183"/>
      <c r="B13" s="183"/>
      <c r="C13" s="183"/>
      <c r="D13" s="183"/>
      <c r="E13" s="184"/>
    </row>
    <row r="14" spans="1:8" x14ac:dyDescent="0.2">
      <c r="A14" s="183"/>
      <c r="B14" s="183"/>
      <c r="C14" s="183"/>
      <c r="D14" s="183"/>
      <c r="E14" s="184"/>
      <c r="G14" s="55"/>
      <c r="H14" s="55"/>
    </row>
    <row r="15" spans="1:8" x14ac:dyDescent="0.2">
      <c r="A15" s="133" t="s">
        <v>25</v>
      </c>
      <c r="B15" s="134" t="s">
        <v>26</v>
      </c>
      <c r="C15" s="134">
        <f>SUM(C3:C14)</f>
        <v>0</v>
      </c>
      <c r="D15" s="134"/>
      <c r="E15" s="135">
        <f>SUM(E3:E14)</f>
        <v>0</v>
      </c>
    </row>
  </sheetData>
  <sheetProtection sheet="1" objects="1" scenarios="1"/>
  <mergeCells count="1">
    <mergeCell ref="A1:E1"/>
  </mergeCells>
  <dataValidations count="1">
    <dataValidation operator="greaterThan" allowBlank="1" showInputMessage="1" showErrorMessage="1" sqref="A2" xr:uid="{F4D78744-AEFC-439C-BBC3-37332DDC76F6}"/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E2B4AD-1858-4314-94F6-AA383276D1CA}">
          <x14:formula1>
            <xm:f>'2.Relatório Finanças'!$K$8:$K$10</xm:f>
          </x14:formula1>
          <xm:sqref>D3:D14</xm:sqref>
        </x14:dataValidation>
        <x14:dataValidation type="list" allowBlank="1" showInputMessage="1" showErrorMessage="1" xr:uid="{B58AC209-A411-4AC8-95FC-A4ED2F0A41C7}">
          <x14:formula1>
            <xm:f>'2.Relatório Finanças'!$K$13:$K$16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Vendas">
    <outlinePr summaryBelow="0" summaryRight="0"/>
  </sheetPr>
  <dimension ref="A1:Q999"/>
  <sheetViews>
    <sheetView showGridLines="0" workbookViewId="0">
      <selection activeCell="H18" sqref="H18"/>
    </sheetView>
  </sheetViews>
  <sheetFormatPr defaultColWidth="12.5703125" defaultRowHeight="15.75" customHeight="1" x14ac:dyDescent="0.2"/>
  <cols>
    <col min="1" max="1" width="10.140625" style="47" bestFit="1" customWidth="1"/>
    <col min="2" max="2" width="22.42578125" customWidth="1"/>
    <col min="3" max="3" width="4.140625" bestFit="1" customWidth="1"/>
    <col min="4" max="4" width="21" bestFit="1" customWidth="1"/>
    <col min="5" max="5" width="12.5703125" style="58"/>
    <col min="6" max="6" width="2" customWidth="1"/>
    <col min="7" max="7" width="10.140625" bestFit="1" customWidth="1"/>
    <col min="8" max="8" width="14.140625" bestFit="1" customWidth="1"/>
    <col min="9" max="9" width="12.5703125" style="58"/>
    <col min="10" max="10" width="6.5703125" customWidth="1"/>
    <col min="11" max="12" width="23" bestFit="1" customWidth="1"/>
    <col min="13" max="14" width="19.140625" bestFit="1" customWidth="1"/>
  </cols>
  <sheetData>
    <row r="1" spans="1:17" ht="12.75" x14ac:dyDescent="0.2">
      <c r="A1" s="143" t="s">
        <v>102</v>
      </c>
      <c r="B1" s="143"/>
      <c r="C1" s="143"/>
      <c r="D1" s="143"/>
      <c r="E1" s="143"/>
      <c r="F1" s="143"/>
      <c r="G1" s="143"/>
      <c r="H1" s="143"/>
      <c r="I1" s="143"/>
      <c r="J1" s="55"/>
      <c r="K1" s="13"/>
      <c r="L1" s="55"/>
      <c r="M1" s="55"/>
      <c r="N1" s="51"/>
      <c r="O1" s="51"/>
      <c r="P1" s="55"/>
      <c r="Q1" s="55"/>
    </row>
    <row r="2" spans="1:17" ht="12.75" x14ac:dyDescent="0.2">
      <c r="A2" s="144" t="s">
        <v>0</v>
      </c>
      <c r="B2" s="144"/>
      <c r="C2" s="144"/>
      <c r="D2" s="144"/>
      <c r="E2" s="144"/>
      <c r="G2" s="145" t="s">
        <v>95</v>
      </c>
      <c r="H2" s="145"/>
      <c r="I2" s="145"/>
      <c r="J2" s="55"/>
      <c r="K2" s="55"/>
      <c r="L2" s="55"/>
      <c r="M2" s="55"/>
      <c r="N2" s="51"/>
      <c r="O2" s="47"/>
      <c r="P2" s="55"/>
      <c r="Q2" s="55"/>
    </row>
    <row r="3" spans="1:17" ht="12.75" x14ac:dyDescent="0.2">
      <c r="A3" s="84" t="s">
        <v>29</v>
      </c>
      <c r="B3" s="16" t="s">
        <v>30</v>
      </c>
      <c r="C3" s="16" t="s">
        <v>31</v>
      </c>
      <c r="D3" s="16" t="s">
        <v>32</v>
      </c>
      <c r="E3" s="17" t="s">
        <v>33</v>
      </c>
      <c r="G3" s="102" t="s">
        <v>29</v>
      </c>
      <c r="H3" s="103" t="s">
        <v>91</v>
      </c>
      <c r="I3" s="112" t="s">
        <v>33</v>
      </c>
      <c r="J3" s="55"/>
      <c r="K3" s="55"/>
      <c r="L3" s="55"/>
      <c r="M3" s="55"/>
      <c r="N3" s="47"/>
      <c r="O3" s="47"/>
      <c r="P3" s="55"/>
      <c r="Q3" s="55"/>
    </row>
    <row r="4" spans="1:17" ht="13.5" thickBot="1" x14ac:dyDescent="0.25">
      <c r="A4" s="120">
        <v>42915</v>
      </c>
      <c r="B4" s="121" t="s">
        <v>41</v>
      </c>
      <c r="C4" s="122">
        <v>5</v>
      </c>
      <c r="D4" s="121" t="s">
        <v>38</v>
      </c>
      <c r="E4" s="124">
        <v>56</v>
      </c>
      <c r="G4" s="47"/>
      <c r="H4" s="115"/>
      <c r="I4" s="115"/>
      <c r="M4" s="55"/>
      <c r="N4" s="55"/>
      <c r="O4" s="47"/>
      <c r="P4" s="55"/>
      <c r="Q4" s="55"/>
    </row>
    <row r="5" spans="1:17" ht="13.5" thickBot="1" x14ac:dyDescent="0.25">
      <c r="A5" s="120">
        <v>42916</v>
      </c>
      <c r="B5" s="125" t="s">
        <v>39</v>
      </c>
      <c r="C5" s="122">
        <v>6</v>
      </c>
      <c r="D5" s="125" t="s">
        <v>38</v>
      </c>
      <c r="E5" s="126">
        <v>6</v>
      </c>
      <c r="G5" s="47"/>
      <c r="H5" s="115"/>
      <c r="I5" s="115"/>
      <c r="K5" s="101" t="s">
        <v>100</v>
      </c>
      <c r="L5" s="185">
        <v>6</v>
      </c>
      <c r="M5" s="186">
        <v>2017</v>
      </c>
      <c r="N5" s="55"/>
      <c r="O5" s="47"/>
      <c r="P5" s="55"/>
      <c r="Q5" s="55"/>
    </row>
    <row r="6" spans="1:17" ht="13.5" thickBot="1" x14ac:dyDescent="0.25">
      <c r="A6" s="120"/>
      <c r="B6" s="121"/>
      <c r="C6" s="122"/>
      <c r="D6" s="121"/>
      <c r="E6" s="124"/>
      <c r="G6" s="47"/>
      <c r="H6" s="115"/>
      <c r="I6" s="115"/>
      <c r="K6" s="98" t="s">
        <v>94</v>
      </c>
      <c r="L6" s="99"/>
      <c r="M6" s="119"/>
      <c r="N6" s="55"/>
    </row>
    <row r="7" spans="1:17" ht="12.75" x14ac:dyDescent="0.2">
      <c r="A7" s="120"/>
      <c r="B7" s="121"/>
      <c r="C7" s="122"/>
      <c r="D7" s="121"/>
      <c r="E7" s="124"/>
      <c r="G7" s="47"/>
      <c r="H7" s="115"/>
      <c r="I7" s="115"/>
      <c r="K7" s="90" t="s">
        <v>36</v>
      </c>
      <c r="L7" s="89" t="s">
        <v>31</v>
      </c>
      <c r="M7" s="104" t="s">
        <v>33</v>
      </c>
      <c r="N7" s="106" t="s">
        <v>97</v>
      </c>
      <c r="O7" s="109">
        <f>SUM(H:H)</f>
        <v>0</v>
      </c>
      <c r="P7" s="55"/>
      <c r="Q7" s="55"/>
    </row>
    <row r="8" spans="1:17" ht="12.75" x14ac:dyDescent="0.2">
      <c r="A8" s="120"/>
      <c r="B8" s="121"/>
      <c r="C8" s="122"/>
      <c r="D8" s="121"/>
      <c r="E8" s="124"/>
      <c r="G8" s="47"/>
      <c r="H8" s="115"/>
      <c r="I8" s="115"/>
      <c r="K8" s="91" t="s">
        <v>35</v>
      </c>
      <c r="L8" s="25">
        <f>COUNTIF(D:D,"Pix")</f>
        <v>0</v>
      </c>
      <c r="M8" s="105">
        <f>SUMIF(D:D,"Pix",E:E)</f>
        <v>0</v>
      </c>
      <c r="N8" s="107" t="s">
        <v>98</v>
      </c>
      <c r="O8" s="110">
        <f>SUM(C:C)</f>
        <v>11</v>
      </c>
      <c r="P8" s="55"/>
      <c r="Q8" s="55"/>
    </row>
    <row r="9" spans="1:17" ht="13.5" thickBot="1" x14ac:dyDescent="0.25">
      <c r="A9" s="120"/>
      <c r="B9" s="125"/>
      <c r="C9" s="122"/>
      <c r="D9" s="125"/>
      <c r="E9" s="126"/>
      <c r="G9" s="47"/>
      <c r="H9" s="114"/>
      <c r="I9" s="114"/>
      <c r="K9" s="91" t="s">
        <v>38</v>
      </c>
      <c r="L9" s="25">
        <f>COUNTIF(D:D,"Dinheiro")</f>
        <v>2</v>
      </c>
      <c r="M9" s="105">
        <f>SUMIF(D:D,"Dinheiro",E:E)</f>
        <v>62</v>
      </c>
      <c r="N9" s="108" t="s">
        <v>99</v>
      </c>
      <c r="O9" s="111">
        <f>O7-O8</f>
        <v>-11</v>
      </c>
      <c r="P9" s="55"/>
      <c r="Q9" s="55"/>
    </row>
    <row r="10" spans="1:17" ht="12.75" x14ac:dyDescent="0.2">
      <c r="B10" s="115"/>
      <c r="C10" s="115"/>
      <c r="D10" s="115"/>
      <c r="E10" s="115"/>
      <c r="G10" s="47"/>
      <c r="H10" s="114"/>
      <c r="I10" s="114"/>
      <c r="K10" s="91" t="s">
        <v>39</v>
      </c>
      <c r="L10" s="25">
        <f>COUNTIF(D:D,"Outro")</f>
        <v>0</v>
      </c>
      <c r="M10" s="92">
        <f>SUMIF(D:D,"Outro",E:E)</f>
        <v>0</v>
      </c>
      <c r="O10" s="47"/>
      <c r="P10" s="55"/>
      <c r="Q10" s="55"/>
    </row>
    <row r="11" spans="1:17" ht="12.75" x14ac:dyDescent="0.2">
      <c r="B11" s="115"/>
      <c r="C11" s="115"/>
      <c r="D11" s="115"/>
      <c r="E11" s="115"/>
      <c r="G11" s="47"/>
      <c r="H11" s="114"/>
      <c r="I11" s="114"/>
      <c r="K11" s="93" t="s">
        <v>25</v>
      </c>
      <c r="L11" s="20">
        <f t="shared" ref="L11:M11" si="0">SUM(L8:L10)</f>
        <v>2</v>
      </c>
      <c r="M11" s="94">
        <f t="shared" si="0"/>
        <v>62</v>
      </c>
      <c r="O11" s="47"/>
      <c r="P11" s="55"/>
      <c r="Q11" s="55"/>
    </row>
    <row r="12" spans="1:17" ht="12.75" x14ac:dyDescent="0.2">
      <c r="B12" s="115"/>
      <c r="C12" s="115"/>
      <c r="D12" s="115"/>
      <c r="E12" s="115"/>
      <c r="G12" s="47"/>
      <c r="H12" s="115"/>
      <c r="I12" s="115"/>
      <c r="K12" s="95" t="s">
        <v>40</v>
      </c>
      <c r="L12" s="21" t="s">
        <v>31</v>
      </c>
      <c r="M12" s="96" t="s">
        <v>33</v>
      </c>
      <c r="O12" s="47"/>
      <c r="P12" s="55"/>
      <c r="Q12" s="55"/>
    </row>
    <row r="13" spans="1:17" ht="12.75" x14ac:dyDescent="0.2">
      <c r="B13" s="115"/>
      <c r="C13" s="115"/>
      <c r="D13" s="115"/>
      <c r="E13" s="115"/>
      <c r="G13" s="47"/>
      <c r="H13" s="115"/>
      <c r="I13" s="115"/>
      <c r="K13" s="91" t="s">
        <v>34</v>
      </c>
      <c r="L13" s="25">
        <f>SUMIF(B:B,K13,C:C)</f>
        <v>0</v>
      </c>
      <c r="M13" s="92">
        <f>SUMIF(B:B,K13,E:E)</f>
        <v>0</v>
      </c>
      <c r="N13" s="55"/>
      <c r="O13" s="47"/>
      <c r="P13" s="55"/>
      <c r="Q13" s="55"/>
    </row>
    <row r="14" spans="1:17" ht="12.75" x14ac:dyDescent="0.2">
      <c r="B14" s="115"/>
      <c r="C14" s="115"/>
      <c r="D14" s="115"/>
      <c r="E14" s="115"/>
      <c r="G14" s="47"/>
      <c r="H14" s="115"/>
      <c r="I14" s="115"/>
      <c r="K14" s="91" t="s">
        <v>37</v>
      </c>
      <c r="L14" s="25">
        <f>SUMIF(B:B,K14,C:C)</f>
        <v>0</v>
      </c>
      <c r="M14" s="92">
        <f>SUMIF(B:B,K14,E:E)</f>
        <v>0</v>
      </c>
      <c r="N14" s="55"/>
      <c r="O14" s="47"/>
      <c r="P14" s="55"/>
      <c r="Q14" s="55"/>
    </row>
    <row r="15" spans="1:17" ht="12.75" x14ac:dyDescent="0.2">
      <c r="B15" s="115"/>
      <c r="C15" s="115"/>
      <c r="D15" s="115"/>
      <c r="E15" s="115"/>
      <c r="G15" s="47"/>
      <c r="H15" s="115"/>
      <c r="I15" s="115"/>
      <c r="K15" s="91" t="s">
        <v>41</v>
      </c>
      <c r="L15" s="25">
        <f>SUMIF(B:B,K15,C:C)</f>
        <v>5</v>
      </c>
      <c r="M15" s="92">
        <f>SUMIF(B:B,K15,E:E)</f>
        <v>56</v>
      </c>
      <c r="N15" s="55"/>
      <c r="O15" s="47"/>
      <c r="P15" s="55"/>
      <c r="Q15" s="55"/>
    </row>
    <row r="16" spans="1:17" ht="12.75" x14ac:dyDescent="0.2">
      <c r="B16" s="115"/>
      <c r="C16" s="115"/>
      <c r="D16" s="115"/>
      <c r="E16" s="115"/>
      <c r="G16" s="47"/>
      <c r="H16" s="115"/>
      <c r="I16" s="115"/>
      <c r="K16" s="91" t="s">
        <v>39</v>
      </c>
      <c r="L16" s="25">
        <f>SUMIF(B:B,K16,C:C)</f>
        <v>6</v>
      </c>
      <c r="M16" s="92">
        <f>SUMIF(B:B,K16,E:E)</f>
        <v>6</v>
      </c>
      <c r="N16" s="55"/>
      <c r="O16" s="47"/>
      <c r="P16" s="55"/>
      <c r="Q16" s="55"/>
    </row>
    <row r="17" spans="2:17" ht="12.75" x14ac:dyDescent="0.2">
      <c r="B17" s="115"/>
      <c r="C17" s="115"/>
      <c r="D17" s="115"/>
      <c r="E17" s="115"/>
      <c r="G17" s="47"/>
      <c r="H17" s="115"/>
      <c r="I17" s="115"/>
      <c r="K17" s="93" t="s">
        <v>25</v>
      </c>
      <c r="L17" s="88">
        <f t="shared" ref="L17:M17" si="1">SUM(L13:L16)</f>
        <v>11</v>
      </c>
      <c r="M17" s="97">
        <f t="shared" si="1"/>
        <v>62</v>
      </c>
      <c r="N17" s="55"/>
      <c r="O17" s="47"/>
      <c r="P17" s="55"/>
      <c r="Q17" s="55"/>
    </row>
    <row r="18" spans="2:17" ht="12.75" x14ac:dyDescent="0.2">
      <c r="B18" s="115"/>
      <c r="C18" s="115"/>
      <c r="D18" s="115"/>
      <c r="E18" s="115"/>
      <c r="G18" s="47"/>
      <c r="H18" s="115"/>
      <c r="I18" s="115"/>
      <c r="K18" s="85" t="s">
        <v>23</v>
      </c>
      <c r="L18" s="10">
        <f>M17/L17</f>
        <v>5.6363636363636367</v>
      </c>
      <c r="M18" s="41"/>
      <c r="N18" s="55"/>
      <c r="O18" s="47"/>
      <c r="P18" s="55"/>
      <c r="Q18" s="55"/>
    </row>
    <row r="19" spans="2:17" ht="12.75" x14ac:dyDescent="0.2">
      <c r="B19" s="115"/>
      <c r="C19" s="115"/>
      <c r="D19" s="115"/>
      <c r="E19" s="115"/>
      <c r="G19" s="47"/>
      <c r="H19" s="115"/>
      <c r="I19" s="115"/>
      <c r="K19" s="85" t="s">
        <v>24</v>
      </c>
      <c r="L19" s="10">
        <f>'2.Relatório Finanças'!M17</f>
        <v>62</v>
      </c>
      <c r="M19" s="41"/>
      <c r="O19" s="47"/>
      <c r="P19" s="55"/>
      <c r="Q19" s="55"/>
    </row>
    <row r="20" spans="2:17" ht="12.75" x14ac:dyDescent="0.2">
      <c r="B20" s="115"/>
      <c r="C20" s="115"/>
      <c r="D20" s="115"/>
      <c r="E20" s="115"/>
      <c r="G20" s="47"/>
      <c r="H20" s="115"/>
      <c r="I20" s="115"/>
      <c r="K20" s="100" t="s">
        <v>27</v>
      </c>
      <c r="L20" s="10">
        <f>SUM(I:I)</f>
        <v>0</v>
      </c>
      <c r="M20" s="41"/>
      <c r="O20" s="47"/>
      <c r="P20" s="55"/>
      <c r="Q20" s="55"/>
    </row>
    <row r="21" spans="2:17" ht="13.5" thickBot="1" x14ac:dyDescent="0.25">
      <c r="B21" s="115"/>
      <c r="C21" s="115"/>
      <c r="D21" s="115"/>
      <c r="E21" s="115"/>
      <c r="G21" s="47"/>
      <c r="H21" s="115"/>
      <c r="I21" s="115"/>
      <c r="K21" s="86" t="s">
        <v>28</v>
      </c>
      <c r="L21" s="46">
        <f>L19-L20</f>
        <v>62</v>
      </c>
      <c r="M21" s="87"/>
      <c r="O21" s="47"/>
      <c r="P21" s="55"/>
      <c r="Q21" s="55"/>
    </row>
    <row r="22" spans="2:17" ht="12.75" x14ac:dyDescent="0.2">
      <c r="G22" s="47"/>
      <c r="H22" s="115"/>
      <c r="I22" s="115"/>
      <c r="O22" s="47"/>
      <c r="P22" s="55"/>
      <c r="Q22" s="55"/>
    </row>
    <row r="23" spans="2:17" ht="12.75" x14ac:dyDescent="0.2">
      <c r="G23" s="47"/>
      <c r="H23" s="115"/>
      <c r="I23" s="115"/>
    </row>
    <row r="24" spans="2:17" ht="12.75" x14ac:dyDescent="0.2">
      <c r="G24" s="47"/>
      <c r="H24" s="115"/>
      <c r="I24" s="115"/>
    </row>
    <row r="25" spans="2:17" ht="12.75" x14ac:dyDescent="0.2">
      <c r="F25" s="47"/>
      <c r="G25" s="47"/>
      <c r="H25" s="115"/>
      <c r="I25" s="115"/>
    </row>
    <row r="26" spans="2:17" ht="12.75" x14ac:dyDescent="0.2">
      <c r="F26" s="47"/>
      <c r="G26" s="47"/>
      <c r="H26" s="115"/>
      <c r="I26" s="115"/>
    </row>
    <row r="27" spans="2:17" ht="12.75" x14ac:dyDescent="0.2">
      <c r="G27" s="47"/>
      <c r="H27" s="115"/>
      <c r="I27" s="115"/>
    </row>
    <row r="28" spans="2:17" ht="12.75" x14ac:dyDescent="0.2">
      <c r="G28" s="47"/>
      <c r="H28" s="115"/>
      <c r="I28" s="115"/>
    </row>
    <row r="29" spans="2:17" ht="12.75" x14ac:dyDescent="0.2">
      <c r="G29" s="47"/>
      <c r="H29" s="115"/>
      <c r="I29" s="115"/>
    </row>
    <row r="30" spans="2:17" ht="12.75" x14ac:dyDescent="0.2">
      <c r="G30" s="47"/>
      <c r="H30" s="115"/>
      <c r="I30" s="115"/>
    </row>
    <row r="31" spans="2:17" ht="12.75" x14ac:dyDescent="0.2">
      <c r="G31" s="47"/>
      <c r="H31" s="115"/>
      <c r="I31" s="115"/>
    </row>
    <row r="32" spans="2:17" ht="12.75" x14ac:dyDescent="0.2">
      <c r="G32" s="47"/>
      <c r="H32" s="115"/>
      <c r="I32" s="115"/>
    </row>
    <row r="33" spans="2:9" ht="12.75" x14ac:dyDescent="0.2">
      <c r="G33" s="47"/>
      <c r="H33" s="115"/>
      <c r="I33" s="115"/>
    </row>
    <row r="34" spans="2:9" ht="12.75" x14ac:dyDescent="0.2">
      <c r="B34" s="19"/>
      <c r="D34" s="47"/>
      <c r="E34" s="56"/>
      <c r="F34" s="79"/>
      <c r="G34" s="47"/>
      <c r="H34" s="115"/>
      <c r="I34" s="115"/>
    </row>
    <row r="35" spans="2:9" ht="12.75" x14ac:dyDescent="0.2">
      <c r="B35" s="19"/>
      <c r="D35" s="19"/>
      <c r="E35" s="113"/>
      <c r="G35" s="47"/>
      <c r="H35" s="115"/>
      <c r="I35" s="115"/>
    </row>
    <row r="36" spans="2:9" ht="12.75" x14ac:dyDescent="0.2">
      <c r="B36" s="19"/>
      <c r="D36" s="19"/>
      <c r="E36" s="113"/>
      <c r="G36" s="47"/>
      <c r="H36" s="115"/>
      <c r="I36" s="115"/>
    </row>
    <row r="37" spans="2:9" ht="12.75" x14ac:dyDescent="0.2">
      <c r="B37" s="19"/>
      <c r="D37" s="19"/>
      <c r="E37" s="113"/>
      <c r="G37" s="47"/>
      <c r="H37" s="115"/>
      <c r="I37" s="115"/>
    </row>
    <row r="38" spans="2:9" ht="12.75" x14ac:dyDescent="0.2">
      <c r="B38" s="19"/>
      <c r="D38" s="19"/>
      <c r="E38" s="113"/>
      <c r="G38" s="47"/>
      <c r="H38" s="115"/>
      <c r="I38" s="115"/>
    </row>
    <row r="39" spans="2:9" ht="12.75" x14ac:dyDescent="0.2">
      <c r="B39" s="19"/>
      <c r="D39" s="19"/>
      <c r="E39" s="113"/>
      <c r="G39" s="47"/>
      <c r="H39" s="115"/>
      <c r="I39" s="115"/>
    </row>
    <row r="40" spans="2:9" ht="12.75" x14ac:dyDescent="0.2">
      <c r="B40" s="19"/>
      <c r="D40" s="19"/>
      <c r="E40" s="113"/>
      <c r="G40" s="47"/>
      <c r="H40" s="115"/>
      <c r="I40" s="115"/>
    </row>
    <row r="41" spans="2:9" ht="12.75" x14ac:dyDescent="0.2">
      <c r="B41" s="19"/>
      <c r="D41" s="19"/>
      <c r="E41" s="113"/>
      <c r="G41" s="47"/>
      <c r="H41" s="115"/>
      <c r="I41" s="115"/>
    </row>
    <row r="42" spans="2:9" ht="12.75" x14ac:dyDescent="0.2">
      <c r="B42" s="19"/>
      <c r="D42" s="19"/>
      <c r="E42" s="113"/>
      <c r="G42" s="47"/>
      <c r="H42" s="115"/>
      <c r="I42" s="115"/>
    </row>
    <row r="43" spans="2:9" ht="12.75" x14ac:dyDescent="0.2">
      <c r="B43" s="19"/>
      <c r="D43" s="19"/>
      <c r="E43" s="113"/>
      <c r="G43" s="47"/>
      <c r="H43" s="115"/>
      <c r="I43" s="115"/>
    </row>
    <row r="44" spans="2:9" ht="12.75" x14ac:dyDescent="0.2">
      <c r="B44" s="19"/>
      <c r="D44" s="19"/>
      <c r="E44" s="113"/>
      <c r="G44" s="47"/>
      <c r="H44" s="115"/>
      <c r="I44" s="115"/>
    </row>
    <row r="45" spans="2:9" ht="12.75" x14ac:dyDescent="0.2">
      <c r="B45" s="19"/>
      <c r="D45" s="19"/>
      <c r="E45" s="113"/>
      <c r="G45" s="47"/>
      <c r="H45" s="115"/>
      <c r="I45" s="115"/>
    </row>
    <row r="46" spans="2:9" ht="12.75" x14ac:dyDescent="0.2">
      <c r="B46" s="19"/>
      <c r="D46" s="19"/>
      <c r="E46" s="113"/>
      <c r="G46" s="47"/>
      <c r="H46" s="115"/>
      <c r="I46" s="115"/>
    </row>
    <row r="47" spans="2:9" ht="12.75" x14ac:dyDescent="0.2">
      <c r="B47" s="19"/>
      <c r="D47" s="19"/>
      <c r="E47" s="113"/>
      <c r="G47" s="47"/>
      <c r="H47" s="115"/>
      <c r="I47" s="115"/>
    </row>
    <row r="48" spans="2:9" ht="12.75" x14ac:dyDescent="0.2">
      <c r="B48" s="19"/>
      <c r="D48" s="19"/>
      <c r="E48" s="113"/>
    </row>
    <row r="49" spans="2:5" ht="12.75" x14ac:dyDescent="0.2">
      <c r="B49" s="19"/>
      <c r="D49" s="19"/>
      <c r="E49" s="113"/>
    </row>
    <row r="50" spans="2:5" ht="12.75" x14ac:dyDescent="0.2">
      <c r="B50" s="19"/>
      <c r="D50" s="19"/>
      <c r="E50" s="113"/>
    </row>
    <row r="51" spans="2:5" ht="12.75" x14ac:dyDescent="0.2">
      <c r="B51" s="19"/>
      <c r="D51" s="19"/>
      <c r="E51" s="113"/>
    </row>
    <row r="52" spans="2:5" ht="12.75" x14ac:dyDescent="0.2">
      <c r="B52" s="19"/>
      <c r="D52" s="19"/>
      <c r="E52" s="113"/>
    </row>
    <row r="53" spans="2:5" ht="12.75" x14ac:dyDescent="0.2">
      <c r="B53" s="19"/>
      <c r="D53" s="19"/>
      <c r="E53" s="113"/>
    </row>
    <row r="54" spans="2:5" ht="12.75" x14ac:dyDescent="0.2">
      <c r="B54" s="19"/>
      <c r="D54" s="19"/>
      <c r="E54" s="113"/>
    </row>
    <row r="55" spans="2:5" ht="12.75" x14ac:dyDescent="0.2">
      <c r="B55" s="19"/>
      <c r="D55" s="19"/>
      <c r="E55" s="113"/>
    </row>
    <row r="56" spans="2:5" ht="12.75" x14ac:dyDescent="0.2">
      <c r="B56" s="19"/>
      <c r="D56" s="19"/>
      <c r="E56" s="113"/>
    </row>
    <row r="57" spans="2:5" ht="12.75" x14ac:dyDescent="0.2">
      <c r="B57" s="19"/>
      <c r="D57" s="19"/>
      <c r="E57" s="113"/>
    </row>
    <row r="58" spans="2:5" ht="12.75" x14ac:dyDescent="0.2">
      <c r="B58" s="19"/>
      <c r="D58" s="19"/>
      <c r="E58" s="113"/>
    </row>
    <row r="59" spans="2:5" ht="12.75" x14ac:dyDescent="0.2">
      <c r="B59" s="19"/>
      <c r="D59" s="19"/>
      <c r="E59" s="113"/>
    </row>
    <row r="60" spans="2:5" ht="12.75" x14ac:dyDescent="0.2">
      <c r="B60" s="19"/>
      <c r="D60" s="19"/>
      <c r="E60" s="113"/>
    </row>
    <row r="61" spans="2:5" ht="12.75" x14ac:dyDescent="0.2">
      <c r="B61" s="19"/>
      <c r="D61" s="19"/>
      <c r="E61" s="113"/>
    </row>
    <row r="62" spans="2:5" ht="12.75" x14ac:dyDescent="0.2">
      <c r="B62" s="19"/>
      <c r="D62" s="19"/>
      <c r="E62" s="113"/>
    </row>
    <row r="63" spans="2:5" ht="12.75" x14ac:dyDescent="0.2">
      <c r="B63" s="19"/>
      <c r="D63" s="19"/>
      <c r="E63" s="113"/>
    </row>
    <row r="64" spans="2:5" ht="12.75" x14ac:dyDescent="0.2">
      <c r="B64" s="19"/>
      <c r="D64" s="19"/>
      <c r="E64" s="113"/>
    </row>
    <row r="65" spans="2:5" ht="12.75" x14ac:dyDescent="0.2">
      <c r="B65" s="19"/>
      <c r="D65" s="19"/>
      <c r="E65" s="113"/>
    </row>
    <row r="66" spans="2:5" ht="12.75" x14ac:dyDescent="0.2">
      <c r="B66" s="19"/>
      <c r="D66" s="19"/>
      <c r="E66" s="113"/>
    </row>
    <row r="67" spans="2:5" ht="12.75" x14ac:dyDescent="0.2">
      <c r="B67" s="19"/>
      <c r="D67" s="19"/>
      <c r="E67" s="113"/>
    </row>
    <row r="68" spans="2:5" ht="12.75" x14ac:dyDescent="0.2">
      <c r="B68" s="19"/>
      <c r="D68" s="19"/>
      <c r="E68" s="113"/>
    </row>
    <row r="69" spans="2:5" ht="12.75" x14ac:dyDescent="0.2">
      <c r="B69" s="19"/>
      <c r="D69" s="19"/>
      <c r="E69" s="113"/>
    </row>
    <row r="70" spans="2:5" ht="12.75" x14ac:dyDescent="0.2">
      <c r="B70" s="19"/>
      <c r="D70" s="19"/>
      <c r="E70" s="113"/>
    </row>
    <row r="71" spans="2:5" ht="12.75" x14ac:dyDescent="0.2">
      <c r="B71" s="19"/>
      <c r="D71" s="19"/>
      <c r="E71" s="113"/>
    </row>
    <row r="72" spans="2:5" ht="12.75" x14ac:dyDescent="0.2">
      <c r="B72" s="19"/>
      <c r="D72" s="19"/>
      <c r="E72" s="113"/>
    </row>
    <row r="73" spans="2:5" ht="12.75" x14ac:dyDescent="0.2">
      <c r="B73" s="19"/>
      <c r="D73" s="19"/>
      <c r="E73" s="113"/>
    </row>
    <row r="74" spans="2:5" ht="12.75" x14ac:dyDescent="0.2">
      <c r="B74" s="19"/>
      <c r="D74" s="19"/>
      <c r="E74" s="113"/>
    </row>
    <row r="75" spans="2:5" ht="12.75" x14ac:dyDescent="0.2">
      <c r="B75" s="19"/>
      <c r="D75" s="19"/>
      <c r="E75" s="113"/>
    </row>
    <row r="76" spans="2:5" ht="12.75" x14ac:dyDescent="0.2">
      <c r="B76" s="19"/>
      <c r="D76" s="19"/>
      <c r="E76" s="113"/>
    </row>
    <row r="77" spans="2:5" ht="12.75" x14ac:dyDescent="0.2">
      <c r="B77" s="19"/>
      <c r="D77" s="19"/>
      <c r="E77" s="113"/>
    </row>
    <row r="78" spans="2:5" ht="12.75" x14ac:dyDescent="0.2">
      <c r="B78" s="19"/>
      <c r="D78" s="19"/>
      <c r="E78" s="113"/>
    </row>
    <row r="79" spans="2:5" ht="12.75" x14ac:dyDescent="0.2">
      <c r="B79" s="19"/>
      <c r="D79" s="19"/>
      <c r="E79" s="113"/>
    </row>
    <row r="80" spans="2:5" ht="12.75" x14ac:dyDescent="0.2">
      <c r="B80" s="19"/>
      <c r="D80" s="19"/>
      <c r="E80" s="113"/>
    </row>
    <row r="81" spans="2:5" ht="12.75" x14ac:dyDescent="0.2">
      <c r="B81" s="19"/>
      <c r="D81" s="19"/>
      <c r="E81" s="113"/>
    </row>
    <row r="82" spans="2:5" ht="12.75" x14ac:dyDescent="0.2">
      <c r="B82" s="19"/>
      <c r="D82" s="19"/>
      <c r="E82" s="113"/>
    </row>
    <row r="83" spans="2:5" ht="12.75" x14ac:dyDescent="0.2">
      <c r="B83" s="19"/>
      <c r="D83" s="19"/>
      <c r="E83" s="113"/>
    </row>
    <row r="84" spans="2:5" ht="12.75" x14ac:dyDescent="0.2">
      <c r="B84" s="19"/>
      <c r="D84" s="19"/>
      <c r="E84" s="113"/>
    </row>
    <row r="85" spans="2:5" ht="12.75" x14ac:dyDescent="0.2">
      <c r="B85" s="19"/>
      <c r="D85" s="19"/>
      <c r="E85" s="113"/>
    </row>
    <row r="86" spans="2:5" ht="12.75" x14ac:dyDescent="0.2">
      <c r="B86" s="19"/>
      <c r="D86" s="19"/>
      <c r="E86" s="113"/>
    </row>
    <row r="87" spans="2:5" ht="12.75" x14ac:dyDescent="0.2">
      <c r="B87" s="19"/>
      <c r="D87" s="19"/>
      <c r="E87" s="113"/>
    </row>
    <row r="88" spans="2:5" ht="12.75" x14ac:dyDescent="0.2">
      <c r="B88" s="19"/>
      <c r="D88" s="19"/>
      <c r="E88" s="113"/>
    </row>
    <row r="89" spans="2:5" ht="12.75" x14ac:dyDescent="0.2">
      <c r="B89" s="19"/>
      <c r="D89" s="19"/>
      <c r="E89" s="113"/>
    </row>
    <row r="90" spans="2:5" ht="12.75" x14ac:dyDescent="0.2">
      <c r="B90" s="19"/>
      <c r="D90" s="19"/>
      <c r="E90" s="113"/>
    </row>
    <row r="91" spans="2:5" ht="12.75" x14ac:dyDescent="0.2">
      <c r="B91" s="19"/>
      <c r="D91" s="19"/>
      <c r="E91" s="113"/>
    </row>
    <row r="92" spans="2:5" ht="12.75" x14ac:dyDescent="0.2">
      <c r="B92" s="19"/>
      <c r="D92" s="19"/>
      <c r="E92" s="113"/>
    </row>
    <row r="93" spans="2:5" ht="12.75" x14ac:dyDescent="0.2">
      <c r="B93" s="19"/>
      <c r="D93" s="19"/>
      <c r="E93" s="113"/>
    </row>
    <row r="94" spans="2:5" ht="12.75" x14ac:dyDescent="0.2">
      <c r="B94" s="19"/>
      <c r="D94" s="19"/>
      <c r="E94" s="113"/>
    </row>
    <row r="95" spans="2:5" ht="12.75" x14ac:dyDescent="0.2">
      <c r="B95" s="19"/>
      <c r="D95" s="19"/>
      <c r="E95" s="113"/>
    </row>
    <row r="96" spans="2:5" ht="12.75" x14ac:dyDescent="0.2">
      <c r="B96" s="19"/>
      <c r="D96" s="19"/>
      <c r="E96" s="113"/>
    </row>
    <row r="97" spans="2:5" ht="12.75" x14ac:dyDescent="0.2">
      <c r="B97" s="19"/>
      <c r="D97" s="19"/>
      <c r="E97" s="113"/>
    </row>
    <row r="98" spans="2:5" ht="12.75" x14ac:dyDescent="0.2">
      <c r="B98" s="19"/>
      <c r="D98" s="19"/>
      <c r="E98" s="113"/>
    </row>
    <row r="99" spans="2:5" ht="12.75" x14ac:dyDescent="0.2">
      <c r="B99" s="19"/>
      <c r="D99" s="19"/>
      <c r="E99" s="113"/>
    </row>
    <row r="100" spans="2:5" ht="12.75" x14ac:dyDescent="0.2">
      <c r="B100" s="19"/>
      <c r="D100" s="19"/>
      <c r="E100" s="113"/>
    </row>
    <row r="101" spans="2:5" ht="12.75" x14ac:dyDescent="0.2">
      <c r="B101" s="19"/>
      <c r="D101" s="19"/>
      <c r="E101" s="113"/>
    </row>
    <row r="102" spans="2:5" ht="12.75" x14ac:dyDescent="0.2">
      <c r="B102" s="19"/>
      <c r="D102" s="19"/>
      <c r="E102" s="113"/>
    </row>
    <row r="103" spans="2:5" ht="12.75" x14ac:dyDescent="0.2">
      <c r="B103" s="19"/>
      <c r="D103" s="19"/>
      <c r="E103" s="113"/>
    </row>
    <row r="104" spans="2:5" ht="12.75" x14ac:dyDescent="0.2">
      <c r="B104" s="19"/>
      <c r="D104" s="19"/>
      <c r="E104" s="113"/>
    </row>
    <row r="105" spans="2:5" ht="12.75" x14ac:dyDescent="0.2">
      <c r="B105" s="19"/>
      <c r="D105" s="19"/>
      <c r="E105" s="113"/>
    </row>
    <row r="106" spans="2:5" ht="12.75" x14ac:dyDescent="0.2">
      <c r="B106" s="19"/>
      <c r="D106" s="19"/>
      <c r="E106" s="113"/>
    </row>
    <row r="107" spans="2:5" ht="12.75" x14ac:dyDescent="0.2">
      <c r="B107" s="19"/>
      <c r="D107" s="19"/>
      <c r="E107" s="113"/>
    </row>
    <row r="108" spans="2:5" ht="12.75" x14ac:dyDescent="0.2">
      <c r="B108" s="19"/>
      <c r="D108" s="19"/>
      <c r="E108" s="113"/>
    </row>
    <row r="109" spans="2:5" ht="12.75" x14ac:dyDescent="0.2">
      <c r="B109" s="19"/>
      <c r="D109" s="19"/>
      <c r="E109" s="113"/>
    </row>
    <row r="110" spans="2:5" ht="12.75" x14ac:dyDescent="0.2">
      <c r="B110" s="19"/>
      <c r="D110" s="19"/>
      <c r="E110" s="113"/>
    </row>
    <row r="111" spans="2:5" ht="12.75" x14ac:dyDescent="0.2">
      <c r="B111" s="19"/>
      <c r="D111" s="19"/>
      <c r="E111" s="113"/>
    </row>
    <row r="112" spans="2:5" ht="12.75" x14ac:dyDescent="0.2">
      <c r="B112" s="19"/>
      <c r="D112" s="19"/>
      <c r="E112" s="113"/>
    </row>
    <row r="113" spans="2:5" ht="12.75" x14ac:dyDescent="0.2">
      <c r="B113" s="19"/>
      <c r="D113" s="19"/>
      <c r="E113" s="113"/>
    </row>
    <row r="114" spans="2:5" ht="12.75" x14ac:dyDescent="0.2">
      <c r="B114" s="19"/>
      <c r="D114" s="19"/>
      <c r="E114" s="113"/>
    </row>
    <row r="115" spans="2:5" ht="12.75" x14ac:dyDescent="0.2">
      <c r="B115" s="19"/>
      <c r="D115" s="19"/>
      <c r="E115" s="113"/>
    </row>
    <row r="116" spans="2:5" ht="12.75" x14ac:dyDescent="0.2">
      <c r="B116" s="19"/>
      <c r="D116" s="19"/>
      <c r="E116" s="113"/>
    </row>
    <row r="117" spans="2:5" ht="12.75" x14ac:dyDescent="0.2">
      <c r="B117" s="19"/>
      <c r="D117" s="19"/>
      <c r="E117" s="113"/>
    </row>
    <row r="118" spans="2:5" ht="12.75" x14ac:dyDescent="0.2">
      <c r="B118" s="19"/>
      <c r="D118" s="19"/>
      <c r="E118" s="113"/>
    </row>
    <row r="119" spans="2:5" ht="12.75" x14ac:dyDescent="0.2">
      <c r="B119" s="19"/>
      <c r="D119" s="19"/>
      <c r="E119" s="113"/>
    </row>
    <row r="120" spans="2:5" ht="12.75" x14ac:dyDescent="0.2">
      <c r="B120" s="19"/>
      <c r="D120" s="19"/>
      <c r="E120" s="113"/>
    </row>
    <row r="121" spans="2:5" ht="12.75" x14ac:dyDescent="0.2">
      <c r="B121" s="19"/>
      <c r="D121" s="19"/>
      <c r="E121" s="113"/>
    </row>
    <row r="122" spans="2:5" ht="12.75" x14ac:dyDescent="0.2">
      <c r="B122" s="19"/>
      <c r="D122" s="19"/>
      <c r="E122" s="113"/>
    </row>
    <row r="123" spans="2:5" ht="12.75" x14ac:dyDescent="0.2">
      <c r="B123" s="19"/>
      <c r="D123" s="19"/>
      <c r="E123" s="113"/>
    </row>
    <row r="124" spans="2:5" ht="12.75" x14ac:dyDescent="0.2">
      <c r="B124" s="19"/>
      <c r="D124" s="19"/>
      <c r="E124" s="113"/>
    </row>
    <row r="125" spans="2:5" ht="12.75" x14ac:dyDescent="0.2">
      <c r="B125" s="19"/>
      <c r="D125" s="19"/>
      <c r="E125" s="113"/>
    </row>
    <row r="126" spans="2:5" ht="12.75" x14ac:dyDescent="0.2">
      <c r="B126" s="19"/>
      <c r="D126" s="19"/>
      <c r="E126" s="113"/>
    </row>
    <row r="127" spans="2:5" ht="12.75" x14ac:dyDescent="0.2">
      <c r="B127" s="19"/>
      <c r="D127" s="19"/>
      <c r="E127" s="113"/>
    </row>
    <row r="128" spans="2:5" ht="12.75" x14ac:dyDescent="0.2">
      <c r="B128" s="19"/>
      <c r="D128" s="19"/>
      <c r="E128" s="113"/>
    </row>
    <row r="129" spans="2:5" ht="12.75" x14ac:dyDescent="0.2">
      <c r="B129" s="19"/>
      <c r="D129" s="19"/>
      <c r="E129" s="113"/>
    </row>
    <row r="130" spans="2:5" ht="12.75" x14ac:dyDescent="0.2">
      <c r="B130" s="19"/>
      <c r="D130" s="19"/>
      <c r="E130" s="113"/>
    </row>
    <row r="131" spans="2:5" ht="12.75" x14ac:dyDescent="0.2">
      <c r="B131" s="19"/>
      <c r="D131" s="19"/>
      <c r="E131" s="113"/>
    </row>
    <row r="132" spans="2:5" ht="12.75" x14ac:dyDescent="0.2">
      <c r="B132" s="19"/>
      <c r="D132" s="19"/>
      <c r="E132" s="113"/>
    </row>
    <row r="133" spans="2:5" ht="12.75" x14ac:dyDescent="0.2">
      <c r="B133" s="19"/>
      <c r="D133" s="19"/>
      <c r="E133" s="113"/>
    </row>
    <row r="134" spans="2:5" ht="12.75" x14ac:dyDescent="0.2">
      <c r="B134" s="19"/>
      <c r="D134" s="19"/>
      <c r="E134" s="113"/>
    </row>
    <row r="135" spans="2:5" ht="12.75" x14ac:dyDescent="0.2">
      <c r="B135" s="19"/>
      <c r="D135" s="19"/>
      <c r="E135" s="113"/>
    </row>
    <row r="136" spans="2:5" ht="12.75" x14ac:dyDescent="0.2">
      <c r="B136" s="19"/>
      <c r="D136" s="19"/>
      <c r="E136" s="113"/>
    </row>
    <row r="137" spans="2:5" ht="12.75" x14ac:dyDescent="0.2">
      <c r="B137" s="19"/>
      <c r="D137" s="19"/>
      <c r="E137" s="113"/>
    </row>
    <row r="138" spans="2:5" ht="12.75" x14ac:dyDescent="0.2">
      <c r="B138" s="19"/>
      <c r="D138" s="19"/>
      <c r="E138" s="113"/>
    </row>
    <row r="139" spans="2:5" ht="12.75" x14ac:dyDescent="0.2">
      <c r="B139" s="19"/>
      <c r="D139" s="19"/>
      <c r="E139" s="113"/>
    </row>
    <row r="140" spans="2:5" ht="12.75" x14ac:dyDescent="0.2">
      <c r="B140" s="19"/>
      <c r="D140" s="19"/>
      <c r="E140" s="113"/>
    </row>
    <row r="141" spans="2:5" ht="12.75" x14ac:dyDescent="0.2">
      <c r="B141" s="19"/>
      <c r="D141" s="19"/>
      <c r="E141" s="113"/>
    </row>
    <row r="142" spans="2:5" ht="12.75" x14ac:dyDescent="0.2">
      <c r="B142" s="19"/>
      <c r="D142" s="19"/>
      <c r="E142" s="113"/>
    </row>
    <row r="143" spans="2:5" ht="12.75" x14ac:dyDescent="0.2">
      <c r="B143" s="19"/>
      <c r="D143" s="19"/>
      <c r="E143" s="113"/>
    </row>
    <row r="144" spans="2:5" ht="12.75" x14ac:dyDescent="0.2">
      <c r="B144" s="19"/>
      <c r="D144" s="19"/>
      <c r="E144" s="113"/>
    </row>
    <row r="145" spans="2:5" ht="12.75" x14ac:dyDescent="0.2">
      <c r="B145" s="19"/>
      <c r="D145" s="19"/>
      <c r="E145" s="113"/>
    </row>
    <row r="146" spans="2:5" ht="12.75" x14ac:dyDescent="0.2">
      <c r="B146" s="19"/>
      <c r="D146" s="19"/>
      <c r="E146" s="113"/>
    </row>
    <row r="147" spans="2:5" ht="12.75" x14ac:dyDescent="0.2">
      <c r="B147" s="19"/>
      <c r="D147" s="19"/>
      <c r="E147" s="113"/>
    </row>
    <row r="148" spans="2:5" ht="12.75" x14ac:dyDescent="0.2">
      <c r="B148" s="19"/>
      <c r="D148" s="19"/>
      <c r="E148" s="113"/>
    </row>
    <row r="149" spans="2:5" ht="12.75" x14ac:dyDescent="0.2">
      <c r="B149" s="19"/>
      <c r="D149" s="19"/>
      <c r="E149" s="113"/>
    </row>
    <row r="150" spans="2:5" ht="12.75" x14ac:dyDescent="0.2">
      <c r="B150" s="19"/>
      <c r="D150" s="19"/>
      <c r="E150" s="113"/>
    </row>
    <row r="151" spans="2:5" ht="12.75" x14ac:dyDescent="0.2">
      <c r="B151" s="19"/>
      <c r="D151" s="19"/>
      <c r="E151" s="113"/>
    </row>
    <row r="152" spans="2:5" ht="12.75" x14ac:dyDescent="0.2">
      <c r="B152" s="19"/>
      <c r="D152" s="19"/>
      <c r="E152" s="113"/>
    </row>
    <row r="153" spans="2:5" ht="12.75" x14ac:dyDescent="0.2">
      <c r="B153" s="19"/>
      <c r="D153" s="19"/>
      <c r="E153" s="113"/>
    </row>
    <row r="154" spans="2:5" ht="12.75" x14ac:dyDescent="0.2">
      <c r="B154" s="19"/>
      <c r="D154" s="19"/>
      <c r="E154" s="113"/>
    </row>
    <row r="155" spans="2:5" ht="12.75" x14ac:dyDescent="0.2">
      <c r="B155" s="19"/>
      <c r="D155" s="19"/>
      <c r="E155" s="113"/>
    </row>
    <row r="156" spans="2:5" ht="12.75" x14ac:dyDescent="0.2">
      <c r="B156" s="19"/>
      <c r="D156" s="19"/>
      <c r="E156" s="113"/>
    </row>
    <row r="157" spans="2:5" ht="12.75" x14ac:dyDescent="0.2">
      <c r="B157" s="19"/>
      <c r="D157" s="19"/>
      <c r="E157" s="113"/>
    </row>
    <row r="158" spans="2:5" ht="12.75" x14ac:dyDescent="0.2">
      <c r="B158" s="19"/>
      <c r="D158" s="19"/>
      <c r="E158" s="113"/>
    </row>
    <row r="159" spans="2:5" ht="12.75" x14ac:dyDescent="0.2">
      <c r="B159" s="19"/>
      <c r="D159" s="19"/>
      <c r="E159" s="113"/>
    </row>
    <row r="160" spans="2:5" ht="12.75" x14ac:dyDescent="0.2">
      <c r="B160" s="19"/>
      <c r="D160" s="19"/>
      <c r="E160" s="113"/>
    </row>
    <row r="161" spans="2:5" ht="12.75" x14ac:dyDescent="0.2">
      <c r="B161" s="19"/>
      <c r="D161" s="19"/>
      <c r="E161" s="113"/>
    </row>
    <row r="162" spans="2:5" ht="12.75" x14ac:dyDescent="0.2">
      <c r="B162" s="19"/>
      <c r="D162" s="19"/>
      <c r="E162" s="113"/>
    </row>
    <row r="163" spans="2:5" ht="12.75" x14ac:dyDescent="0.2">
      <c r="B163" s="19"/>
      <c r="D163" s="19"/>
      <c r="E163" s="113"/>
    </row>
    <row r="164" spans="2:5" ht="12.75" x14ac:dyDescent="0.2">
      <c r="B164" s="19"/>
      <c r="D164" s="19"/>
      <c r="E164" s="113"/>
    </row>
    <row r="165" spans="2:5" ht="12.75" x14ac:dyDescent="0.2">
      <c r="B165" s="19"/>
      <c r="D165" s="19"/>
      <c r="E165" s="113"/>
    </row>
    <row r="166" spans="2:5" ht="12.75" x14ac:dyDescent="0.2">
      <c r="B166" s="19"/>
      <c r="D166" s="19"/>
      <c r="E166" s="113"/>
    </row>
    <row r="167" spans="2:5" ht="12.75" x14ac:dyDescent="0.2">
      <c r="B167" s="19"/>
      <c r="D167" s="19"/>
      <c r="E167" s="113"/>
    </row>
    <row r="168" spans="2:5" ht="12.75" x14ac:dyDescent="0.2">
      <c r="B168" s="19"/>
      <c r="D168" s="19"/>
      <c r="E168" s="113"/>
    </row>
    <row r="169" spans="2:5" ht="12.75" x14ac:dyDescent="0.2">
      <c r="B169" s="19"/>
      <c r="D169" s="19"/>
      <c r="E169" s="113"/>
    </row>
    <row r="170" spans="2:5" ht="12.75" x14ac:dyDescent="0.2">
      <c r="B170" s="19"/>
      <c r="D170" s="19"/>
      <c r="E170" s="113"/>
    </row>
    <row r="171" spans="2:5" ht="12.75" x14ac:dyDescent="0.2">
      <c r="B171" s="19"/>
      <c r="D171" s="19"/>
      <c r="E171" s="113"/>
    </row>
    <row r="172" spans="2:5" ht="12.75" x14ac:dyDescent="0.2">
      <c r="B172" s="19"/>
      <c r="D172" s="19"/>
      <c r="E172" s="113"/>
    </row>
    <row r="173" spans="2:5" ht="12.75" x14ac:dyDescent="0.2">
      <c r="B173" s="19"/>
      <c r="D173" s="19"/>
      <c r="E173" s="113"/>
    </row>
    <row r="174" spans="2:5" ht="12.75" x14ac:dyDescent="0.2">
      <c r="B174" s="19"/>
      <c r="D174" s="19"/>
      <c r="E174" s="113"/>
    </row>
    <row r="175" spans="2:5" ht="12.75" x14ac:dyDescent="0.2">
      <c r="B175" s="19"/>
      <c r="D175" s="19"/>
      <c r="E175" s="113"/>
    </row>
    <row r="176" spans="2:5" ht="12.75" x14ac:dyDescent="0.2">
      <c r="B176" s="19"/>
      <c r="D176" s="19"/>
      <c r="E176" s="113"/>
    </row>
    <row r="177" spans="2:5" ht="12.75" x14ac:dyDescent="0.2">
      <c r="B177" s="19"/>
      <c r="D177" s="19"/>
      <c r="E177" s="113"/>
    </row>
    <row r="178" spans="2:5" ht="12.75" x14ac:dyDescent="0.2">
      <c r="B178" s="19"/>
      <c r="D178" s="19"/>
      <c r="E178" s="113"/>
    </row>
    <row r="179" spans="2:5" ht="12.75" x14ac:dyDescent="0.2">
      <c r="B179" s="19"/>
      <c r="D179" s="19"/>
      <c r="E179" s="113"/>
    </row>
    <row r="180" spans="2:5" ht="12.75" x14ac:dyDescent="0.2">
      <c r="B180" s="19"/>
      <c r="D180" s="19"/>
      <c r="E180" s="113"/>
    </row>
    <row r="181" spans="2:5" ht="12.75" x14ac:dyDescent="0.2">
      <c r="B181" s="19"/>
      <c r="D181" s="19"/>
      <c r="E181" s="113"/>
    </row>
    <row r="182" spans="2:5" ht="12.75" x14ac:dyDescent="0.2">
      <c r="B182" s="19"/>
      <c r="D182" s="19"/>
      <c r="E182" s="113"/>
    </row>
    <row r="183" spans="2:5" ht="12.75" x14ac:dyDescent="0.2">
      <c r="B183" s="19"/>
      <c r="D183" s="19"/>
      <c r="E183" s="113"/>
    </row>
    <row r="184" spans="2:5" ht="12.75" x14ac:dyDescent="0.2">
      <c r="B184" s="19"/>
      <c r="D184" s="19"/>
      <c r="E184" s="113"/>
    </row>
    <row r="185" spans="2:5" ht="12.75" x14ac:dyDescent="0.2">
      <c r="B185" s="19"/>
      <c r="D185" s="19"/>
      <c r="E185" s="113"/>
    </row>
    <row r="186" spans="2:5" ht="12.75" x14ac:dyDescent="0.2">
      <c r="B186" s="19"/>
      <c r="D186" s="19"/>
      <c r="E186" s="113"/>
    </row>
    <row r="187" spans="2:5" ht="12.75" x14ac:dyDescent="0.2">
      <c r="B187" s="19"/>
      <c r="D187" s="19"/>
      <c r="E187" s="113"/>
    </row>
    <row r="188" spans="2:5" ht="12.75" x14ac:dyDescent="0.2">
      <c r="B188" s="19"/>
      <c r="D188" s="19"/>
      <c r="E188" s="113"/>
    </row>
    <row r="189" spans="2:5" ht="12.75" x14ac:dyDescent="0.2">
      <c r="B189" s="19"/>
      <c r="D189" s="19"/>
      <c r="E189" s="113"/>
    </row>
    <row r="190" spans="2:5" ht="12.75" x14ac:dyDescent="0.2">
      <c r="B190" s="19"/>
      <c r="D190" s="19"/>
      <c r="E190" s="113"/>
    </row>
    <row r="191" spans="2:5" ht="12.75" x14ac:dyDescent="0.2">
      <c r="B191" s="19"/>
      <c r="D191" s="19"/>
      <c r="E191" s="113"/>
    </row>
    <row r="192" spans="2:5" ht="12.75" x14ac:dyDescent="0.2">
      <c r="B192" s="19"/>
      <c r="D192" s="19"/>
      <c r="E192" s="113"/>
    </row>
    <row r="193" spans="2:5" ht="12.75" x14ac:dyDescent="0.2">
      <c r="B193" s="19"/>
      <c r="D193" s="19"/>
      <c r="E193" s="113"/>
    </row>
    <row r="194" spans="2:5" ht="12.75" x14ac:dyDescent="0.2">
      <c r="B194" s="19"/>
      <c r="D194" s="19"/>
      <c r="E194" s="113"/>
    </row>
    <row r="195" spans="2:5" ht="12.75" x14ac:dyDescent="0.2">
      <c r="B195" s="19"/>
      <c r="D195" s="19"/>
      <c r="E195" s="113"/>
    </row>
    <row r="196" spans="2:5" ht="12.75" x14ac:dyDescent="0.2">
      <c r="B196" s="19"/>
      <c r="D196" s="19"/>
      <c r="E196" s="113"/>
    </row>
    <row r="197" spans="2:5" ht="12.75" x14ac:dyDescent="0.2">
      <c r="B197" s="19"/>
      <c r="D197" s="19"/>
      <c r="E197" s="113"/>
    </row>
    <row r="198" spans="2:5" ht="12.75" x14ac:dyDescent="0.2">
      <c r="B198" s="19"/>
      <c r="D198" s="19"/>
      <c r="E198" s="113"/>
    </row>
    <row r="199" spans="2:5" ht="12.75" x14ac:dyDescent="0.2">
      <c r="B199" s="19"/>
      <c r="D199" s="19"/>
      <c r="E199" s="113"/>
    </row>
    <row r="200" spans="2:5" ht="12.75" x14ac:dyDescent="0.2">
      <c r="B200" s="19"/>
      <c r="D200" s="19"/>
      <c r="E200" s="113"/>
    </row>
    <row r="201" spans="2:5" ht="12.75" x14ac:dyDescent="0.2">
      <c r="B201" s="19"/>
      <c r="D201" s="19"/>
      <c r="E201" s="113"/>
    </row>
    <row r="202" spans="2:5" ht="12.75" x14ac:dyDescent="0.2">
      <c r="B202" s="19"/>
      <c r="D202" s="19"/>
      <c r="E202" s="113"/>
    </row>
    <row r="203" spans="2:5" ht="12.75" x14ac:dyDescent="0.2">
      <c r="B203" s="19"/>
      <c r="D203" s="19"/>
      <c r="E203" s="113"/>
    </row>
    <row r="204" spans="2:5" ht="12.75" x14ac:dyDescent="0.2">
      <c r="B204" s="19"/>
      <c r="D204" s="19"/>
      <c r="E204" s="113"/>
    </row>
    <row r="205" spans="2:5" ht="12.75" x14ac:dyDescent="0.2">
      <c r="B205" s="19"/>
      <c r="D205" s="19"/>
      <c r="E205" s="113"/>
    </row>
    <row r="206" spans="2:5" ht="12.75" x14ac:dyDescent="0.2">
      <c r="B206" s="19"/>
      <c r="D206" s="19"/>
      <c r="E206" s="113"/>
    </row>
    <row r="207" spans="2:5" ht="12.75" x14ac:dyDescent="0.2">
      <c r="B207" s="19"/>
      <c r="D207" s="19"/>
      <c r="E207" s="113"/>
    </row>
    <row r="208" spans="2:5" ht="12.75" x14ac:dyDescent="0.2">
      <c r="B208" s="19"/>
      <c r="D208" s="19"/>
      <c r="E208" s="113"/>
    </row>
    <row r="209" spans="2:5" ht="12.75" x14ac:dyDescent="0.2">
      <c r="B209" s="19"/>
      <c r="D209" s="19"/>
      <c r="E209" s="113"/>
    </row>
    <row r="210" spans="2:5" ht="12.75" x14ac:dyDescent="0.2">
      <c r="B210" s="19"/>
      <c r="D210" s="19"/>
      <c r="E210" s="113"/>
    </row>
    <row r="211" spans="2:5" ht="12.75" x14ac:dyDescent="0.2">
      <c r="B211" s="19"/>
      <c r="D211" s="19"/>
      <c r="E211" s="113"/>
    </row>
    <row r="212" spans="2:5" ht="12.75" x14ac:dyDescent="0.2">
      <c r="B212" s="19"/>
      <c r="D212" s="19"/>
      <c r="E212" s="113"/>
    </row>
    <row r="213" spans="2:5" ht="12.75" x14ac:dyDescent="0.2">
      <c r="B213" s="19"/>
      <c r="D213" s="19"/>
      <c r="E213" s="113"/>
    </row>
    <row r="214" spans="2:5" ht="12.75" x14ac:dyDescent="0.2">
      <c r="B214" s="19"/>
      <c r="D214" s="19"/>
      <c r="E214" s="113"/>
    </row>
    <row r="215" spans="2:5" ht="12.75" x14ac:dyDescent="0.2">
      <c r="B215" s="19"/>
      <c r="D215" s="19"/>
      <c r="E215" s="113"/>
    </row>
    <row r="216" spans="2:5" ht="12.75" x14ac:dyDescent="0.2">
      <c r="B216" s="19"/>
      <c r="D216" s="19"/>
      <c r="E216" s="113"/>
    </row>
    <row r="217" spans="2:5" ht="12.75" x14ac:dyDescent="0.2">
      <c r="B217" s="19"/>
      <c r="D217" s="19"/>
      <c r="E217" s="113"/>
    </row>
    <row r="218" spans="2:5" ht="12.75" x14ac:dyDescent="0.2">
      <c r="B218" s="19"/>
      <c r="D218" s="19"/>
      <c r="E218" s="113"/>
    </row>
    <row r="219" spans="2:5" ht="12.75" x14ac:dyDescent="0.2">
      <c r="B219" s="19"/>
      <c r="D219" s="19"/>
      <c r="E219" s="113"/>
    </row>
    <row r="220" spans="2:5" ht="12.75" x14ac:dyDescent="0.2">
      <c r="B220" s="19"/>
      <c r="D220" s="19"/>
      <c r="E220" s="113"/>
    </row>
    <row r="221" spans="2:5" ht="12.75" x14ac:dyDescent="0.2">
      <c r="B221" s="19"/>
      <c r="D221" s="19"/>
      <c r="E221" s="113"/>
    </row>
    <row r="222" spans="2:5" ht="12.75" x14ac:dyDescent="0.2">
      <c r="B222" s="19"/>
      <c r="D222" s="19"/>
      <c r="E222" s="113"/>
    </row>
    <row r="223" spans="2:5" ht="12.75" x14ac:dyDescent="0.2">
      <c r="B223" s="19"/>
      <c r="D223" s="19"/>
      <c r="E223" s="113"/>
    </row>
    <row r="224" spans="2:5" ht="12.75" x14ac:dyDescent="0.2">
      <c r="B224" s="19"/>
      <c r="D224" s="19"/>
      <c r="E224" s="113"/>
    </row>
    <row r="225" spans="2:5" ht="12.75" x14ac:dyDescent="0.2">
      <c r="B225" s="19"/>
      <c r="D225" s="19"/>
      <c r="E225" s="113"/>
    </row>
    <row r="226" spans="2:5" ht="12.75" x14ac:dyDescent="0.2">
      <c r="B226" s="19"/>
      <c r="D226" s="19"/>
      <c r="E226" s="113"/>
    </row>
    <row r="227" spans="2:5" ht="12.75" x14ac:dyDescent="0.2">
      <c r="B227" s="19"/>
      <c r="D227" s="19"/>
      <c r="E227" s="113"/>
    </row>
    <row r="228" spans="2:5" ht="12.75" x14ac:dyDescent="0.2">
      <c r="B228" s="19"/>
      <c r="D228" s="19"/>
      <c r="E228" s="113"/>
    </row>
    <row r="229" spans="2:5" ht="12.75" x14ac:dyDescent="0.2">
      <c r="B229" s="19"/>
      <c r="D229" s="19"/>
      <c r="E229" s="113"/>
    </row>
    <row r="230" spans="2:5" ht="12.75" x14ac:dyDescent="0.2">
      <c r="B230" s="19"/>
      <c r="D230" s="19"/>
      <c r="E230" s="113"/>
    </row>
    <row r="231" spans="2:5" ht="12.75" x14ac:dyDescent="0.2">
      <c r="B231" s="19"/>
      <c r="D231" s="19"/>
      <c r="E231" s="113"/>
    </row>
    <row r="232" spans="2:5" ht="12.75" x14ac:dyDescent="0.2">
      <c r="B232" s="19"/>
      <c r="D232" s="19"/>
      <c r="E232" s="113"/>
    </row>
    <row r="233" spans="2:5" ht="12.75" x14ac:dyDescent="0.2">
      <c r="B233" s="19"/>
      <c r="D233" s="19"/>
      <c r="E233" s="113"/>
    </row>
    <row r="234" spans="2:5" ht="12.75" x14ac:dyDescent="0.2">
      <c r="B234" s="19"/>
      <c r="D234" s="19"/>
      <c r="E234" s="113"/>
    </row>
    <row r="235" spans="2:5" ht="12.75" x14ac:dyDescent="0.2">
      <c r="B235" s="19"/>
      <c r="D235" s="19"/>
      <c r="E235" s="113"/>
    </row>
    <row r="236" spans="2:5" ht="12.75" x14ac:dyDescent="0.2">
      <c r="B236" s="19"/>
      <c r="D236" s="19"/>
      <c r="E236" s="113"/>
    </row>
    <row r="237" spans="2:5" ht="12.75" x14ac:dyDescent="0.2">
      <c r="B237" s="19"/>
      <c r="D237" s="19"/>
      <c r="E237" s="113"/>
    </row>
    <row r="238" spans="2:5" ht="12.75" x14ac:dyDescent="0.2">
      <c r="B238" s="19"/>
      <c r="D238" s="19"/>
      <c r="E238" s="113"/>
    </row>
    <row r="239" spans="2:5" ht="12.75" x14ac:dyDescent="0.2">
      <c r="B239" s="19"/>
      <c r="D239" s="19"/>
      <c r="E239" s="113"/>
    </row>
    <row r="240" spans="2:5" ht="12.75" x14ac:dyDescent="0.2">
      <c r="B240" s="19"/>
      <c r="D240" s="19"/>
      <c r="E240" s="113"/>
    </row>
    <row r="241" spans="2:5" ht="12.75" x14ac:dyDescent="0.2">
      <c r="B241" s="19"/>
      <c r="D241" s="19"/>
      <c r="E241" s="113"/>
    </row>
    <row r="242" spans="2:5" ht="12.75" x14ac:dyDescent="0.2">
      <c r="B242" s="19"/>
      <c r="D242" s="19"/>
      <c r="E242" s="113"/>
    </row>
    <row r="243" spans="2:5" ht="12.75" x14ac:dyDescent="0.2">
      <c r="B243" s="19"/>
      <c r="D243" s="19"/>
      <c r="E243" s="113"/>
    </row>
    <row r="244" spans="2:5" ht="12.75" x14ac:dyDescent="0.2">
      <c r="B244" s="19"/>
      <c r="D244" s="19"/>
      <c r="E244" s="113"/>
    </row>
    <row r="245" spans="2:5" ht="12.75" x14ac:dyDescent="0.2">
      <c r="B245" s="19"/>
      <c r="D245" s="19"/>
      <c r="E245" s="113"/>
    </row>
    <row r="246" spans="2:5" ht="12.75" x14ac:dyDescent="0.2">
      <c r="B246" s="19"/>
      <c r="D246" s="19"/>
      <c r="E246" s="113"/>
    </row>
    <row r="247" spans="2:5" ht="12.75" x14ac:dyDescent="0.2">
      <c r="B247" s="19"/>
      <c r="D247" s="19"/>
      <c r="E247" s="113"/>
    </row>
    <row r="248" spans="2:5" ht="12.75" x14ac:dyDescent="0.2">
      <c r="B248" s="19"/>
      <c r="D248" s="19"/>
      <c r="E248" s="113"/>
    </row>
    <row r="249" spans="2:5" ht="12.75" x14ac:dyDescent="0.2">
      <c r="B249" s="19"/>
      <c r="D249" s="19"/>
      <c r="E249" s="113"/>
    </row>
    <row r="250" spans="2:5" ht="12.75" x14ac:dyDescent="0.2">
      <c r="B250" s="19"/>
      <c r="D250" s="19"/>
      <c r="E250" s="113"/>
    </row>
    <row r="251" spans="2:5" ht="12.75" x14ac:dyDescent="0.2">
      <c r="B251" s="19"/>
      <c r="D251" s="19"/>
      <c r="E251" s="113"/>
    </row>
    <row r="252" spans="2:5" ht="12.75" x14ac:dyDescent="0.2">
      <c r="B252" s="19"/>
      <c r="D252" s="19"/>
      <c r="E252" s="113"/>
    </row>
    <row r="253" spans="2:5" ht="12.75" x14ac:dyDescent="0.2">
      <c r="B253" s="19"/>
      <c r="D253" s="19"/>
      <c r="E253" s="113"/>
    </row>
    <row r="254" spans="2:5" ht="12.75" x14ac:dyDescent="0.2">
      <c r="B254" s="19"/>
      <c r="D254" s="19"/>
      <c r="E254" s="113"/>
    </row>
    <row r="255" spans="2:5" ht="12.75" x14ac:dyDescent="0.2">
      <c r="B255" s="19"/>
      <c r="D255" s="19"/>
      <c r="E255" s="113"/>
    </row>
    <row r="256" spans="2:5" ht="12.75" x14ac:dyDescent="0.2">
      <c r="B256" s="19"/>
      <c r="D256" s="19"/>
      <c r="E256" s="113"/>
    </row>
    <row r="257" spans="2:5" ht="12.75" x14ac:dyDescent="0.2">
      <c r="B257" s="19"/>
      <c r="D257" s="19"/>
      <c r="E257" s="113"/>
    </row>
    <row r="258" spans="2:5" ht="12.75" x14ac:dyDescent="0.2">
      <c r="B258" s="19"/>
      <c r="D258" s="19"/>
      <c r="E258" s="113"/>
    </row>
    <row r="259" spans="2:5" ht="12.75" x14ac:dyDescent="0.2">
      <c r="B259" s="19"/>
      <c r="D259" s="19"/>
      <c r="E259" s="113"/>
    </row>
    <row r="260" spans="2:5" ht="12.75" x14ac:dyDescent="0.2">
      <c r="B260" s="19"/>
      <c r="D260" s="19"/>
      <c r="E260" s="113"/>
    </row>
    <row r="261" spans="2:5" ht="12.75" x14ac:dyDescent="0.2">
      <c r="B261" s="19"/>
      <c r="D261" s="19"/>
      <c r="E261" s="113"/>
    </row>
    <row r="262" spans="2:5" ht="12.75" x14ac:dyDescent="0.2">
      <c r="B262" s="19"/>
      <c r="D262" s="19"/>
      <c r="E262" s="113"/>
    </row>
    <row r="263" spans="2:5" ht="12.75" x14ac:dyDescent="0.2">
      <c r="B263" s="19"/>
      <c r="D263" s="19"/>
      <c r="E263" s="113"/>
    </row>
    <row r="264" spans="2:5" ht="12.75" x14ac:dyDescent="0.2">
      <c r="B264" s="19"/>
      <c r="D264" s="19"/>
      <c r="E264" s="113"/>
    </row>
    <row r="265" spans="2:5" ht="12.75" x14ac:dyDescent="0.2">
      <c r="B265" s="19"/>
      <c r="D265" s="19"/>
      <c r="E265" s="113"/>
    </row>
    <row r="266" spans="2:5" ht="12.75" x14ac:dyDescent="0.2">
      <c r="B266" s="19"/>
      <c r="D266" s="19"/>
      <c r="E266" s="113"/>
    </row>
    <row r="267" spans="2:5" ht="12.75" x14ac:dyDescent="0.2">
      <c r="B267" s="19"/>
      <c r="D267" s="19"/>
      <c r="E267" s="113"/>
    </row>
    <row r="268" spans="2:5" ht="12.75" x14ac:dyDescent="0.2">
      <c r="B268" s="19"/>
      <c r="D268" s="19"/>
      <c r="E268" s="113"/>
    </row>
    <row r="269" spans="2:5" ht="12.75" x14ac:dyDescent="0.2">
      <c r="B269" s="19"/>
      <c r="D269" s="19"/>
      <c r="E269" s="113"/>
    </row>
    <row r="270" spans="2:5" ht="12.75" x14ac:dyDescent="0.2">
      <c r="B270" s="19"/>
      <c r="D270" s="19"/>
      <c r="E270" s="113"/>
    </row>
    <row r="271" spans="2:5" ht="12.75" x14ac:dyDescent="0.2">
      <c r="B271" s="19"/>
      <c r="D271" s="19"/>
      <c r="E271" s="113"/>
    </row>
    <row r="272" spans="2:5" ht="12.75" x14ac:dyDescent="0.2">
      <c r="B272" s="19"/>
      <c r="D272" s="19"/>
      <c r="E272" s="113"/>
    </row>
    <row r="273" spans="2:5" ht="12.75" x14ac:dyDescent="0.2">
      <c r="B273" s="19"/>
      <c r="D273" s="19"/>
      <c r="E273" s="113"/>
    </row>
    <row r="274" spans="2:5" ht="12.75" x14ac:dyDescent="0.2">
      <c r="B274" s="19"/>
      <c r="D274" s="19"/>
      <c r="E274" s="113"/>
    </row>
    <row r="275" spans="2:5" ht="12.75" x14ac:dyDescent="0.2">
      <c r="B275" s="19"/>
      <c r="D275" s="19"/>
      <c r="E275" s="113"/>
    </row>
    <row r="276" spans="2:5" ht="12.75" x14ac:dyDescent="0.2">
      <c r="B276" s="19"/>
      <c r="D276" s="19"/>
      <c r="E276" s="113"/>
    </row>
    <row r="277" spans="2:5" ht="12.75" x14ac:dyDescent="0.2">
      <c r="B277" s="19"/>
      <c r="D277" s="19"/>
      <c r="E277" s="113"/>
    </row>
    <row r="278" spans="2:5" ht="12.75" x14ac:dyDescent="0.2">
      <c r="B278" s="19"/>
      <c r="D278" s="19"/>
      <c r="E278" s="113"/>
    </row>
    <row r="279" spans="2:5" ht="12.75" x14ac:dyDescent="0.2">
      <c r="B279" s="19"/>
      <c r="D279" s="19"/>
      <c r="E279" s="113"/>
    </row>
    <row r="280" spans="2:5" ht="12.75" x14ac:dyDescent="0.2">
      <c r="B280" s="19"/>
      <c r="D280" s="19"/>
      <c r="E280" s="113"/>
    </row>
    <row r="281" spans="2:5" ht="12.75" x14ac:dyDescent="0.2">
      <c r="B281" s="19"/>
      <c r="D281" s="19"/>
      <c r="E281" s="113"/>
    </row>
    <row r="282" spans="2:5" ht="12.75" x14ac:dyDescent="0.2">
      <c r="B282" s="19"/>
      <c r="D282" s="19"/>
      <c r="E282" s="113"/>
    </row>
    <row r="283" spans="2:5" ht="12.75" x14ac:dyDescent="0.2">
      <c r="B283" s="19"/>
      <c r="D283" s="19"/>
      <c r="E283" s="113"/>
    </row>
    <row r="284" spans="2:5" ht="12.75" x14ac:dyDescent="0.2">
      <c r="B284" s="19"/>
      <c r="D284" s="19"/>
      <c r="E284" s="113"/>
    </row>
    <row r="285" spans="2:5" ht="12.75" x14ac:dyDescent="0.2">
      <c r="B285" s="19"/>
      <c r="D285" s="19"/>
      <c r="E285" s="113"/>
    </row>
    <row r="286" spans="2:5" ht="12.75" x14ac:dyDescent="0.2">
      <c r="B286" s="19"/>
      <c r="D286" s="19"/>
      <c r="E286" s="113"/>
    </row>
    <row r="287" spans="2:5" ht="12.75" x14ac:dyDescent="0.2">
      <c r="B287" s="19"/>
      <c r="D287" s="19"/>
      <c r="E287" s="113"/>
    </row>
    <row r="288" spans="2:5" ht="12.75" x14ac:dyDescent="0.2">
      <c r="B288" s="19"/>
      <c r="D288" s="19"/>
      <c r="E288" s="113"/>
    </row>
    <row r="289" spans="2:5" ht="12.75" x14ac:dyDescent="0.2">
      <c r="B289" s="19"/>
      <c r="D289" s="19"/>
      <c r="E289" s="113"/>
    </row>
    <row r="290" spans="2:5" ht="12.75" x14ac:dyDescent="0.2">
      <c r="B290" s="19"/>
      <c r="D290" s="19"/>
      <c r="E290" s="113"/>
    </row>
    <row r="291" spans="2:5" ht="12.75" x14ac:dyDescent="0.2">
      <c r="B291" s="19"/>
      <c r="D291" s="19"/>
      <c r="E291" s="113"/>
    </row>
    <row r="292" spans="2:5" ht="12.75" x14ac:dyDescent="0.2">
      <c r="B292" s="19"/>
      <c r="D292" s="19"/>
      <c r="E292" s="113"/>
    </row>
    <row r="293" spans="2:5" ht="12.75" x14ac:dyDescent="0.2">
      <c r="B293" s="19"/>
      <c r="D293" s="19"/>
      <c r="E293" s="113"/>
    </row>
    <row r="294" spans="2:5" ht="12.75" x14ac:dyDescent="0.2">
      <c r="B294" s="19"/>
      <c r="D294" s="19"/>
      <c r="E294" s="113"/>
    </row>
    <row r="295" spans="2:5" ht="12.75" x14ac:dyDescent="0.2">
      <c r="B295" s="19"/>
      <c r="D295" s="19"/>
      <c r="E295" s="113"/>
    </row>
    <row r="296" spans="2:5" ht="12.75" x14ac:dyDescent="0.2">
      <c r="B296" s="19"/>
      <c r="D296" s="19"/>
      <c r="E296" s="113"/>
    </row>
    <row r="297" spans="2:5" ht="12.75" x14ac:dyDescent="0.2">
      <c r="B297" s="19"/>
      <c r="D297" s="19"/>
      <c r="E297" s="113"/>
    </row>
    <row r="298" spans="2:5" ht="12.75" x14ac:dyDescent="0.2">
      <c r="B298" s="19"/>
      <c r="D298" s="19"/>
      <c r="E298" s="113"/>
    </row>
    <row r="299" spans="2:5" ht="12.75" x14ac:dyDescent="0.2">
      <c r="B299" s="19"/>
      <c r="D299" s="19"/>
      <c r="E299" s="113"/>
    </row>
    <row r="300" spans="2:5" ht="12.75" x14ac:dyDescent="0.2">
      <c r="B300" s="19"/>
      <c r="D300" s="19"/>
      <c r="E300" s="113"/>
    </row>
    <row r="301" spans="2:5" ht="12.75" x14ac:dyDescent="0.2">
      <c r="B301" s="19"/>
      <c r="D301" s="19"/>
      <c r="E301" s="113"/>
    </row>
    <row r="302" spans="2:5" ht="12.75" x14ac:dyDescent="0.2">
      <c r="B302" s="19"/>
      <c r="D302" s="19"/>
      <c r="E302" s="113"/>
    </row>
    <row r="303" spans="2:5" ht="12.75" x14ac:dyDescent="0.2">
      <c r="B303" s="19"/>
      <c r="D303" s="19"/>
      <c r="E303" s="113"/>
    </row>
    <row r="304" spans="2:5" ht="12.75" x14ac:dyDescent="0.2">
      <c r="B304" s="19"/>
      <c r="D304" s="19"/>
      <c r="E304" s="113"/>
    </row>
    <row r="305" spans="2:5" ht="12.75" x14ac:dyDescent="0.2">
      <c r="B305" s="19"/>
      <c r="D305" s="19"/>
      <c r="E305" s="113"/>
    </row>
    <row r="306" spans="2:5" ht="12.75" x14ac:dyDescent="0.2">
      <c r="B306" s="19"/>
      <c r="D306" s="19"/>
      <c r="E306" s="113"/>
    </row>
    <row r="307" spans="2:5" ht="12.75" x14ac:dyDescent="0.2">
      <c r="B307" s="19"/>
      <c r="D307" s="19"/>
      <c r="E307" s="113"/>
    </row>
    <row r="308" spans="2:5" ht="12.75" x14ac:dyDescent="0.2">
      <c r="B308" s="19"/>
      <c r="D308" s="19"/>
      <c r="E308" s="113"/>
    </row>
    <row r="309" spans="2:5" ht="12.75" x14ac:dyDescent="0.2">
      <c r="B309" s="19"/>
      <c r="D309" s="19"/>
      <c r="E309" s="113"/>
    </row>
    <row r="310" spans="2:5" ht="12.75" x14ac:dyDescent="0.2">
      <c r="B310" s="19"/>
      <c r="D310" s="19"/>
      <c r="E310" s="113"/>
    </row>
    <row r="311" spans="2:5" ht="12.75" x14ac:dyDescent="0.2">
      <c r="B311" s="19"/>
      <c r="D311" s="19"/>
      <c r="E311" s="113"/>
    </row>
    <row r="312" spans="2:5" ht="12.75" x14ac:dyDescent="0.2">
      <c r="B312" s="19"/>
      <c r="D312" s="19"/>
      <c r="E312" s="113"/>
    </row>
    <row r="313" spans="2:5" ht="12.75" x14ac:dyDescent="0.2">
      <c r="B313" s="19"/>
      <c r="D313" s="19"/>
      <c r="E313" s="113"/>
    </row>
    <row r="314" spans="2:5" ht="12.75" x14ac:dyDescent="0.2">
      <c r="B314" s="19"/>
      <c r="D314" s="19"/>
      <c r="E314" s="113"/>
    </row>
    <row r="315" spans="2:5" ht="12.75" x14ac:dyDescent="0.2">
      <c r="B315" s="19"/>
      <c r="D315" s="19"/>
      <c r="E315" s="113"/>
    </row>
    <row r="316" spans="2:5" ht="12.75" x14ac:dyDescent="0.2">
      <c r="B316" s="19"/>
      <c r="D316" s="19"/>
      <c r="E316" s="113"/>
    </row>
    <row r="317" spans="2:5" ht="12.75" x14ac:dyDescent="0.2">
      <c r="B317" s="19"/>
      <c r="D317" s="19"/>
      <c r="E317" s="113"/>
    </row>
    <row r="318" spans="2:5" ht="12.75" x14ac:dyDescent="0.2">
      <c r="B318" s="19"/>
      <c r="D318" s="19"/>
      <c r="E318" s="113"/>
    </row>
    <row r="319" spans="2:5" ht="12.75" x14ac:dyDescent="0.2">
      <c r="B319" s="19"/>
      <c r="D319" s="19"/>
      <c r="E319" s="113"/>
    </row>
    <row r="320" spans="2:5" ht="12.75" x14ac:dyDescent="0.2">
      <c r="B320" s="19"/>
      <c r="D320" s="19"/>
      <c r="E320" s="113"/>
    </row>
    <row r="321" spans="2:5" ht="12.75" x14ac:dyDescent="0.2">
      <c r="B321" s="19"/>
      <c r="D321" s="19"/>
      <c r="E321" s="113"/>
    </row>
    <row r="322" spans="2:5" ht="12.75" x14ac:dyDescent="0.2">
      <c r="B322" s="19"/>
      <c r="D322" s="19"/>
      <c r="E322" s="113"/>
    </row>
    <row r="323" spans="2:5" ht="12.75" x14ac:dyDescent="0.2">
      <c r="B323" s="19"/>
      <c r="D323" s="19"/>
      <c r="E323" s="113"/>
    </row>
    <row r="324" spans="2:5" ht="12.75" x14ac:dyDescent="0.2">
      <c r="B324" s="19"/>
      <c r="D324" s="19"/>
      <c r="E324" s="113"/>
    </row>
    <row r="325" spans="2:5" ht="12.75" x14ac:dyDescent="0.2">
      <c r="B325" s="19"/>
      <c r="D325" s="19"/>
      <c r="E325" s="113"/>
    </row>
    <row r="326" spans="2:5" ht="12.75" x14ac:dyDescent="0.2">
      <c r="B326" s="19"/>
      <c r="D326" s="19"/>
      <c r="E326" s="113"/>
    </row>
    <row r="327" spans="2:5" ht="12.75" x14ac:dyDescent="0.2">
      <c r="B327" s="19"/>
      <c r="D327" s="19"/>
      <c r="E327" s="113"/>
    </row>
    <row r="328" spans="2:5" ht="12.75" x14ac:dyDescent="0.2">
      <c r="B328" s="19"/>
      <c r="D328" s="19"/>
      <c r="E328" s="113"/>
    </row>
    <row r="329" spans="2:5" ht="12.75" x14ac:dyDescent="0.2">
      <c r="B329" s="19"/>
      <c r="D329" s="19"/>
      <c r="E329" s="113"/>
    </row>
    <row r="330" spans="2:5" ht="12.75" x14ac:dyDescent="0.2">
      <c r="B330" s="19"/>
      <c r="D330" s="19"/>
      <c r="E330" s="113"/>
    </row>
    <row r="331" spans="2:5" ht="12.75" x14ac:dyDescent="0.2">
      <c r="B331" s="19"/>
      <c r="D331" s="19"/>
      <c r="E331" s="113"/>
    </row>
    <row r="332" spans="2:5" ht="12.75" x14ac:dyDescent="0.2">
      <c r="B332" s="19"/>
      <c r="D332" s="19"/>
      <c r="E332" s="113"/>
    </row>
    <row r="333" spans="2:5" ht="12.75" x14ac:dyDescent="0.2">
      <c r="B333" s="19"/>
      <c r="D333" s="19"/>
      <c r="E333" s="113"/>
    </row>
    <row r="334" spans="2:5" ht="12.75" x14ac:dyDescent="0.2">
      <c r="B334" s="19"/>
      <c r="D334" s="19"/>
      <c r="E334" s="113"/>
    </row>
    <row r="335" spans="2:5" ht="12.75" x14ac:dyDescent="0.2">
      <c r="B335" s="19"/>
      <c r="D335" s="19"/>
      <c r="E335" s="113"/>
    </row>
    <row r="336" spans="2:5" ht="12.75" x14ac:dyDescent="0.2">
      <c r="B336" s="19"/>
      <c r="D336" s="19"/>
      <c r="E336" s="113"/>
    </row>
    <row r="337" spans="2:5" ht="12.75" x14ac:dyDescent="0.2">
      <c r="B337" s="19"/>
      <c r="D337" s="19"/>
      <c r="E337" s="113"/>
    </row>
    <row r="338" spans="2:5" ht="12.75" x14ac:dyDescent="0.2">
      <c r="B338" s="19"/>
      <c r="D338" s="19"/>
      <c r="E338" s="113"/>
    </row>
    <row r="339" spans="2:5" ht="12.75" x14ac:dyDescent="0.2">
      <c r="B339" s="19"/>
      <c r="D339" s="19"/>
      <c r="E339" s="113"/>
    </row>
    <row r="340" spans="2:5" ht="12.75" x14ac:dyDescent="0.2">
      <c r="B340" s="19"/>
      <c r="D340" s="19"/>
      <c r="E340" s="113"/>
    </row>
    <row r="341" spans="2:5" ht="12.75" x14ac:dyDescent="0.2">
      <c r="B341" s="19"/>
      <c r="D341" s="19"/>
      <c r="E341" s="113"/>
    </row>
    <row r="342" spans="2:5" ht="12.75" x14ac:dyDescent="0.2">
      <c r="B342" s="19"/>
      <c r="D342" s="19"/>
      <c r="E342" s="113"/>
    </row>
    <row r="343" spans="2:5" ht="12.75" x14ac:dyDescent="0.2">
      <c r="B343" s="19"/>
      <c r="D343" s="19"/>
      <c r="E343" s="113"/>
    </row>
    <row r="344" spans="2:5" ht="12.75" x14ac:dyDescent="0.2">
      <c r="B344" s="19"/>
      <c r="D344" s="19"/>
      <c r="E344" s="113"/>
    </row>
    <row r="345" spans="2:5" ht="12.75" x14ac:dyDescent="0.2">
      <c r="B345" s="19"/>
      <c r="D345" s="19"/>
      <c r="E345" s="113"/>
    </row>
    <row r="346" spans="2:5" ht="12.75" x14ac:dyDescent="0.2">
      <c r="B346" s="19"/>
      <c r="D346" s="19"/>
      <c r="E346" s="113"/>
    </row>
    <row r="347" spans="2:5" ht="12.75" x14ac:dyDescent="0.2">
      <c r="B347" s="19"/>
      <c r="D347" s="19"/>
      <c r="E347" s="113"/>
    </row>
    <row r="348" spans="2:5" ht="12.75" x14ac:dyDescent="0.2">
      <c r="B348" s="19"/>
      <c r="D348" s="19"/>
      <c r="E348" s="113"/>
    </row>
    <row r="349" spans="2:5" ht="12.75" x14ac:dyDescent="0.2">
      <c r="B349" s="19"/>
      <c r="D349" s="19"/>
      <c r="E349" s="113"/>
    </row>
    <row r="350" spans="2:5" ht="12.75" x14ac:dyDescent="0.2">
      <c r="B350" s="19"/>
      <c r="D350" s="19"/>
      <c r="E350" s="113"/>
    </row>
    <row r="351" spans="2:5" ht="12.75" x14ac:dyDescent="0.2">
      <c r="B351" s="19"/>
      <c r="D351" s="19"/>
      <c r="E351" s="113"/>
    </row>
    <row r="352" spans="2:5" ht="12.75" x14ac:dyDescent="0.2">
      <c r="B352" s="19"/>
      <c r="D352" s="19"/>
      <c r="E352" s="113"/>
    </row>
    <row r="353" spans="2:5" ht="12.75" x14ac:dyDescent="0.2">
      <c r="B353" s="19"/>
      <c r="D353" s="19"/>
      <c r="E353" s="113"/>
    </row>
    <row r="354" spans="2:5" ht="12.75" x14ac:dyDescent="0.2">
      <c r="B354" s="19"/>
      <c r="D354" s="19"/>
      <c r="E354" s="113"/>
    </row>
    <row r="355" spans="2:5" ht="12.75" x14ac:dyDescent="0.2">
      <c r="B355" s="19"/>
      <c r="D355" s="19"/>
      <c r="E355" s="113"/>
    </row>
    <row r="356" spans="2:5" ht="12.75" x14ac:dyDescent="0.2">
      <c r="B356" s="19"/>
      <c r="D356" s="19"/>
      <c r="E356" s="113"/>
    </row>
    <row r="357" spans="2:5" ht="12.75" x14ac:dyDescent="0.2">
      <c r="B357" s="19"/>
      <c r="D357" s="19"/>
      <c r="E357" s="113"/>
    </row>
    <row r="358" spans="2:5" ht="12.75" x14ac:dyDescent="0.2">
      <c r="B358" s="19"/>
      <c r="D358" s="19"/>
      <c r="E358" s="113"/>
    </row>
    <row r="359" spans="2:5" ht="12.75" x14ac:dyDescent="0.2">
      <c r="B359" s="19"/>
      <c r="D359" s="19"/>
      <c r="E359" s="113"/>
    </row>
    <row r="360" spans="2:5" ht="12.75" x14ac:dyDescent="0.2">
      <c r="B360" s="19"/>
      <c r="D360" s="19"/>
      <c r="E360" s="113"/>
    </row>
    <row r="361" spans="2:5" ht="12.75" x14ac:dyDescent="0.2">
      <c r="B361" s="19"/>
      <c r="D361" s="19"/>
      <c r="E361" s="113"/>
    </row>
    <row r="362" spans="2:5" ht="12.75" x14ac:dyDescent="0.2">
      <c r="B362" s="19"/>
      <c r="D362" s="19"/>
      <c r="E362" s="113"/>
    </row>
    <row r="363" spans="2:5" ht="12.75" x14ac:dyDescent="0.2">
      <c r="B363" s="19"/>
      <c r="D363" s="19"/>
      <c r="E363" s="113"/>
    </row>
    <row r="364" spans="2:5" ht="12.75" x14ac:dyDescent="0.2">
      <c r="B364" s="19"/>
      <c r="D364" s="19"/>
      <c r="E364" s="113"/>
    </row>
    <row r="365" spans="2:5" ht="12.75" x14ac:dyDescent="0.2">
      <c r="B365" s="19"/>
      <c r="D365" s="19"/>
      <c r="E365" s="113"/>
    </row>
    <row r="366" spans="2:5" ht="12.75" x14ac:dyDescent="0.2">
      <c r="B366" s="19"/>
      <c r="D366" s="19"/>
      <c r="E366" s="113"/>
    </row>
    <row r="367" spans="2:5" ht="12.75" x14ac:dyDescent="0.2">
      <c r="B367" s="19"/>
      <c r="D367" s="19"/>
      <c r="E367" s="113"/>
    </row>
    <row r="368" spans="2:5" ht="12.75" x14ac:dyDescent="0.2">
      <c r="B368" s="19"/>
      <c r="D368" s="19"/>
      <c r="E368" s="113"/>
    </row>
    <row r="369" spans="2:5" ht="12.75" x14ac:dyDescent="0.2">
      <c r="B369" s="19"/>
      <c r="D369" s="19"/>
      <c r="E369" s="113"/>
    </row>
    <row r="370" spans="2:5" ht="12.75" x14ac:dyDescent="0.2">
      <c r="B370" s="19"/>
      <c r="D370" s="19"/>
      <c r="E370" s="113"/>
    </row>
    <row r="371" spans="2:5" ht="12.75" x14ac:dyDescent="0.2">
      <c r="B371" s="19"/>
      <c r="D371" s="19"/>
      <c r="E371" s="113"/>
    </row>
    <row r="372" spans="2:5" ht="12.75" x14ac:dyDescent="0.2">
      <c r="B372" s="19"/>
      <c r="D372" s="19"/>
      <c r="E372" s="113"/>
    </row>
    <row r="373" spans="2:5" ht="12.75" x14ac:dyDescent="0.2">
      <c r="B373" s="19"/>
      <c r="D373" s="19"/>
      <c r="E373" s="113"/>
    </row>
    <row r="374" spans="2:5" ht="12.75" x14ac:dyDescent="0.2">
      <c r="B374" s="19"/>
      <c r="D374" s="19"/>
      <c r="E374" s="113"/>
    </row>
    <row r="375" spans="2:5" ht="12.75" x14ac:dyDescent="0.2">
      <c r="B375" s="19"/>
      <c r="D375" s="19"/>
      <c r="E375" s="113"/>
    </row>
    <row r="376" spans="2:5" ht="12.75" x14ac:dyDescent="0.2">
      <c r="B376" s="19"/>
      <c r="D376" s="19"/>
      <c r="E376" s="113"/>
    </row>
    <row r="377" spans="2:5" ht="12.75" x14ac:dyDescent="0.2">
      <c r="B377" s="19"/>
      <c r="D377" s="19"/>
      <c r="E377" s="113"/>
    </row>
    <row r="378" spans="2:5" ht="12.75" x14ac:dyDescent="0.2">
      <c r="B378" s="19"/>
      <c r="D378" s="19"/>
      <c r="E378" s="113"/>
    </row>
    <row r="379" spans="2:5" ht="12.75" x14ac:dyDescent="0.2">
      <c r="B379" s="19"/>
      <c r="D379" s="19"/>
      <c r="E379" s="113"/>
    </row>
    <row r="380" spans="2:5" ht="12.75" x14ac:dyDescent="0.2">
      <c r="B380" s="19"/>
      <c r="D380" s="19"/>
      <c r="E380" s="113"/>
    </row>
    <row r="381" spans="2:5" ht="12.75" x14ac:dyDescent="0.2">
      <c r="B381" s="19"/>
      <c r="D381" s="19"/>
      <c r="E381" s="113"/>
    </row>
    <row r="382" spans="2:5" ht="12.75" x14ac:dyDescent="0.2">
      <c r="B382" s="19"/>
      <c r="D382" s="19"/>
      <c r="E382" s="113"/>
    </row>
    <row r="383" spans="2:5" ht="12.75" x14ac:dyDescent="0.2">
      <c r="B383" s="19"/>
      <c r="D383" s="19"/>
      <c r="E383" s="113"/>
    </row>
    <row r="384" spans="2:5" ht="12.75" x14ac:dyDescent="0.2">
      <c r="B384" s="19"/>
      <c r="D384" s="19"/>
      <c r="E384" s="113"/>
    </row>
    <row r="385" spans="2:5" ht="12.75" x14ac:dyDescent="0.2">
      <c r="B385" s="19"/>
      <c r="D385" s="19"/>
      <c r="E385" s="113"/>
    </row>
    <row r="386" spans="2:5" ht="12.75" x14ac:dyDescent="0.2">
      <c r="B386" s="19"/>
      <c r="D386" s="19"/>
      <c r="E386" s="113"/>
    </row>
    <row r="387" spans="2:5" ht="12.75" x14ac:dyDescent="0.2">
      <c r="B387" s="19"/>
      <c r="D387" s="19"/>
      <c r="E387" s="113"/>
    </row>
    <row r="388" spans="2:5" ht="12.75" x14ac:dyDescent="0.2">
      <c r="B388" s="19"/>
      <c r="D388" s="19"/>
      <c r="E388" s="113"/>
    </row>
    <row r="389" spans="2:5" ht="12.75" x14ac:dyDescent="0.2">
      <c r="B389" s="19"/>
      <c r="D389" s="19"/>
      <c r="E389" s="113"/>
    </row>
    <row r="390" spans="2:5" ht="12.75" x14ac:dyDescent="0.2">
      <c r="B390" s="19"/>
      <c r="D390" s="19"/>
      <c r="E390" s="113"/>
    </row>
    <row r="391" spans="2:5" ht="12.75" x14ac:dyDescent="0.2">
      <c r="B391" s="19"/>
      <c r="D391" s="19"/>
      <c r="E391" s="113"/>
    </row>
    <row r="392" spans="2:5" ht="12.75" x14ac:dyDescent="0.2">
      <c r="B392" s="19"/>
      <c r="D392" s="19"/>
      <c r="E392" s="113"/>
    </row>
    <row r="393" spans="2:5" ht="12.75" x14ac:dyDescent="0.2">
      <c r="B393" s="19"/>
      <c r="D393" s="19"/>
      <c r="E393" s="113"/>
    </row>
    <row r="394" spans="2:5" ht="12.75" x14ac:dyDescent="0.2">
      <c r="B394" s="19"/>
      <c r="D394" s="19"/>
      <c r="E394" s="113"/>
    </row>
    <row r="395" spans="2:5" ht="12.75" x14ac:dyDescent="0.2">
      <c r="B395" s="19"/>
      <c r="D395" s="19"/>
      <c r="E395" s="113"/>
    </row>
    <row r="396" spans="2:5" ht="12.75" x14ac:dyDescent="0.2">
      <c r="B396" s="19"/>
      <c r="D396" s="19"/>
      <c r="E396" s="113"/>
    </row>
    <row r="397" spans="2:5" ht="12.75" x14ac:dyDescent="0.2">
      <c r="B397" s="19"/>
      <c r="D397" s="19"/>
      <c r="E397" s="113"/>
    </row>
    <row r="398" spans="2:5" ht="12.75" x14ac:dyDescent="0.2">
      <c r="B398" s="19"/>
      <c r="D398" s="19"/>
      <c r="E398" s="113"/>
    </row>
    <row r="399" spans="2:5" ht="12.75" x14ac:dyDescent="0.2">
      <c r="B399" s="19"/>
      <c r="D399" s="19"/>
      <c r="E399" s="113"/>
    </row>
    <row r="400" spans="2:5" ht="12.75" x14ac:dyDescent="0.2">
      <c r="B400" s="19"/>
      <c r="D400" s="19"/>
      <c r="E400" s="113"/>
    </row>
    <row r="401" spans="2:5" ht="12.75" x14ac:dyDescent="0.2">
      <c r="B401" s="19"/>
      <c r="D401" s="19"/>
      <c r="E401" s="113"/>
    </row>
    <row r="402" spans="2:5" ht="12.75" x14ac:dyDescent="0.2">
      <c r="B402" s="19"/>
      <c r="D402" s="19"/>
      <c r="E402" s="113"/>
    </row>
    <row r="403" spans="2:5" ht="12.75" x14ac:dyDescent="0.2">
      <c r="B403" s="19"/>
      <c r="D403" s="19"/>
      <c r="E403" s="113"/>
    </row>
    <row r="404" spans="2:5" ht="12.75" x14ac:dyDescent="0.2">
      <c r="B404" s="19"/>
      <c r="D404" s="19"/>
      <c r="E404" s="113"/>
    </row>
    <row r="405" spans="2:5" ht="12.75" x14ac:dyDescent="0.2">
      <c r="B405" s="19"/>
      <c r="D405" s="19"/>
      <c r="E405" s="113"/>
    </row>
    <row r="406" spans="2:5" ht="12.75" x14ac:dyDescent="0.2">
      <c r="B406" s="19"/>
      <c r="D406" s="19"/>
      <c r="E406" s="113"/>
    </row>
    <row r="407" spans="2:5" ht="12.75" x14ac:dyDescent="0.2">
      <c r="B407" s="19"/>
      <c r="D407" s="19"/>
      <c r="E407" s="113"/>
    </row>
    <row r="408" spans="2:5" ht="12.75" x14ac:dyDescent="0.2">
      <c r="B408" s="19"/>
      <c r="D408" s="19"/>
      <c r="E408" s="113"/>
    </row>
    <row r="409" spans="2:5" ht="12.75" x14ac:dyDescent="0.2">
      <c r="B409" s="19"/>
      <c r="D409" s="19"/>
      <c r="E409" s="113"/>
    </row>
    <row r="410" spans="2:5" ht="12.75" x14ac:dyDescent="0.2">
      <c r="B410" s="19"/>
      <c r="D410" s="19"/>
      <c r="E410" s="113"/>
    </row>
    <row r="411" spans="2:5" ht="12.75" x14ac:dyDescent="0.2">
      <c r="B411" s="19"/>
      <c r="D411" s="19"/>
      <c r="E411" s="113"/>
    </row>
    <row r="412" spans="2:5" ht="12.75" x14ac:dyDescent="0.2">
      <c r="B412" s="19"/>
      <c r="D412" s="19"/>
      <c r="E412" s="113"/>
    </row>
    <row r="413" spans="2:5" ht="12.75" x14ac:dyDescent="0.2">
      <c r="B413" s="19"/>
      <c r="D413" s="19"/>
      <c r="E413" s="113"/>
    </row>
    <row r="414" spans="2:5" ht="12.75" x14ac:dyDescent="0.2">
      <c r="B414" s="19"/>
      <c r="D414" s="19"/>
      <c r="E414" s="113"/>
    </row>
    <row r="415" spans="2:5" ht="12.75" x14ac:dyDescent="0.2">
      <c r="B415" s="19"/>
      <c r="D415" s="19"/>
      <c r="E415" s="113"/>
    </row>
    <row r="416" spans="2:5" ht="12.75" x14ac:dyDescent="0.2">
      <c r="B416" s="19"/>
      <c r="D416" s="19"/>
      <c r="E416" s="113"/>
    </row>
    <row r="417" spans="2:5" ht="12.75" x14ac:dyDescent="0.2">
      <c r="B417" s="19"/>
      <c r="D417" s="19"/>
      <c r="E417" s="113"/>
    </row>
    <row r="418" spans="2:5" ht="12.75" x14ac:dyDescent="0.2">
      <c r="B418" s="19"/>
      <c r="D418" s="19"/>
      <c r="E418" s="113"/>
    </row>
    <row r="419" spans="2:5" ht="12.75" x14ac:dyDescent="0.2">
      <c r="B419" s="19"/>
      <c r="D419" s="19"/>
      <c r="E419" s="113"/>
    </row>
    <row r="420" spans="2:5" ht="12.75" x14ac:dyDescent="0.2">
      <c r="B420" s="19"/>
      <c r="D420" s="19"/>
      <c r="E420" s="113"/>
    </row>
    <row r="421" spans="2:5" ht="12.75" x14ac:dyDescent="0.2">
      <c r="B421" s="19"/>
      <c r="D421" s="19"/>
      <c r="E421" s="113"/>
    </row>
    <row r="422" spans="2:5" ht="12.75" x14ac:dyDescent="0.2">
      <c r="B422" s="19"/>
      <c r="D422" s="19"/>
      <c r="E422" s="113"/>
    </row>
    <row r="423" spans="2:5" ht="12.75" x14ac:dyDescent="0.2">
      <c r="B423" s="19"/>
      <c r="D423" s="19"/>
      <c r="E423" s="113"/>
    </row>
    <row r="424" spans="2:5" ht="12.75" x14ac:dyDescent="0.2">
      <c r="B424" s="19"/>
      <c r="D424" s="19"/>
      <c r="E424" s="113"/>
    </row>
    <row r="425" spans="2:5" ht="12.75" x14ac:dyDescent="0.2">
      <c r="B425" s="19"/>
      <c r="D425" s="19"/>
      <c r="E425" s="113"/>
    </row>
    <row r="426" spans="2:5" ht="12.75" x14ac:dyDescent="0.2">
      <c r="B426" s="19"/>
      <c r="D426" s="19"/>
      <c r="E426" s="113"/>
    </row>
    <row r="427" spans="2:5" ht="12.75" x14ac:dyDescent="0.2">
      <c r="B427" s="19"/>
      <c r="D427" s="19"/>
      <c r="E427" s="113"/>
    </row>
    <row r="428" spans="2:5" ht="12.75" x14ac:dyDescent="0.2">
      <c r="B428" s="19"/>
      <c r="D428" s="19"/>
      <c r="E428" s="113"/>
    </row>
    <row r="429" spans="2:5" ht="12.75" x14ac:dyDescent="0.2">
      <c r="B429" s="19"/>
      <c r="D429" s="19"/>
      <c r="E429" s="113"/>
    </row>
    <row r="430" spans="2:5" ht="12.75" x14ac:dyDescent="0.2">
      <c r="B430" s="19"/>
      <c r="D430" s="19"/>
      <c r="E430" s="113"/>
    </row>
    <row r="431" spans="2:5" ht="12.75" x14ac:dyDescent="0.2">
      <c r="B431" s="19"/>
      <c r="D431" s="19"/>
      <c r="E431" s="113"/>
    </row>
    <row r="432" spans="2:5" ht="12.75" x14ac:dyDescent="0.2">
      <c r="B432" s="19"/>
      <c r="D432" s="19"/>
      <c r="E432" s="113"/>
    </row>
    <row r="433" spans="2:5" ht="12.75" x14ac:dyDescent="0.2">
      <c r="B433" s="19"/>
      <c r="D433" s="19"/>
      <c r="E433" s="113"/>
    </row>
    <row r="434" spans="2:5" ht="12.75" x14ac:dyDescent="0.2">
      <c r="B434" s="19"/>
      <c r="D434" s="19"/>
      <c r="E434" s="113"/>
    </row>
    <row r="435" spans="2:5" ht="12.75" x14ac:dyDescent="0.2">
      <c r="B435" s="19"/>
      <c r="D435" s="19"/>
      <c r="E435" s="113"/>
    </row>
    <row r="436" spans="2:5" ht="12.75" x14ac:dyDescent="0.2">
      <c r="B436" s="19"/>
      <c r="D436" s="19"/>
      <c r="E436" s="113"/>
    </row>
    <row r="437" spans="2:5" ht="12.75" x14ac:dyDescent="0.2">
      <c r="B437" s="19"/>
      <c r="D437" s="19"/>
      <c r="E437" s="113"/>
    </row>
    <row r="438" spans="2:5" ht="12.75" x14ac:dyDescent="0.2">
      <c r="B438" s="19"/>
      <c r="D438" s="19"/>
      <c r="E438" s="113"/>
    </row>
    <row r="439" spans="2:5" ht="12.75" x14ac:dyDescent="0.2">
      <c r="B439" s="19"/>
      <c r="D439" s="19"/>
      <c r="E439" s="113"/>
    </row>
    <row r="440" spans="2:5" ht="12.75" x14ac:dyDescent="0.2">
      <c r="B440" s="19"/>
      <c r="D440" s="19"/>
      <c r="E440" s="113"/>
    </row>
    <row r="441" spans="2:5" ht="12.75" x14ac:dyDescent="0.2">
      <c r="B441" s="19"/>
      <c r="D441" s="19"/>
      <c r="E441" s="113"/>
    </row>
    <row r="442" spans="2:5" ht="12.75" x14ac:dyDescent="0.2">
      <c r="B442" s="19"/>
      <c r="D442" s="19"/>
      <c r="E442" s="113"/>
    </row>
    <row r="443" spans="2:5" ht="12.75" x14ac:dyDescent="0.2">
      <c r="B443" s="19"/>
      <c r="D443" s="19"/>
      <c r="E443" s="113"/>
    </row>
    <row r="444" spans="2:5" ht="12.75" x14ac:dyDescent="0.2">
      <c r="B444" s="19"/>
      <c r="D444" s="19"/>
      <c r="E444" s="113"/>
    </row>
    <row r="445" spans="2:5" ht="12.75" x14ac:dyDescent="0.2">
      <c r="B445" s="19"/>
      <c r="D445" s="19"/>
      <c r="E445" s="113"/>
    </row>
    <row r="446" spans="2:5" ht="12.75" x14ac:dyDescent="0.2">
      <c r="B446" s="19"/>
      <c r="D446" s="19"/>
      <c r="E446" s="113"/>
    </row>
    <row r="447" spans="2:5" ht="12.75" x14ac:dyDescent="0.2">
      <c r="B447" s="19"/>
      <c r="D447" s="19"/>
      <c r="E447" s="113"/>
    </row>
    <row r="448" spans="2:5" ht="12.75" x14ac:dyDescent="0.2">
      <c r="B448" s="19"/>
      <c r="D448" s="19"/>
      <c r="E448" s="113"/>
    </row>
    <row r="449" spans="2:5" ht="12.75" x14ac:dyDescent="0.2">
      <c r="B449" s="19"/>
      <c r="D449" s="19"/>
      <c r="E449" s="113"/>
    </row>
    <row r="450" spans="2:5" ht="12.75" x14ac:dyDescent="0.2">
      <c r="B450" s="19"/>
      <c r="D450" s="19"/>
      <c r="E450" s="113"/>
    </row>
    <row r="451" spans="2:5" ht="12.75" x14ac:dyDescent="0.2">
      <c r="B451" s="19"/>
      <c r="D451" s="19"/>
      <c r="E451" s="113"/>
    </row>
    <row r="452" spans="2:5" ht="12.75" x14ac:dyDescent="0.2">
      <c r="B452" s="19"/>
      <c r="D452" s="19"/>
      <c r="E452" s="113"/>
    </row>
    <row r="453" spans="2:5" ht="12.75" x14ac:dyDescent="0.2">
      <c r="B453" s="19"/>
      <c r="D453" s="19"/>
      <c r="E453" s="113"/>
    </row>
    <row r="454" spans="2:5" ht="12.75" x14ac:dyDescent="0.2">
      <c r="B454" s="19"/>
      <c r="D454" s="19"/>
      <c r="E454" s="113"/>
    </row>
    <row r="455" spans="2:5" ht="12.75" x14ac:dyDescent="0.2">
      <c r="B455" s="19"/>
      <c r="D455" s="19"/>
      <c r="E455" s="113"/>
    </row>
    <row r="456" spans="2:5" ht="12.75" x14ac:dyDescent="0.2">
      <c r="B456" s="19"/>
      <c r="D456" s="19"/>
      <c r="E456" s="113"/>
    </row>
    <row r="457" spans="2:5" ht="12.75" x14ac:dyDescent="0.2">
      <c r="B457" s="19"/>
      <c r="D457" s="19"/>
      <c r="E457" s="113"/>
    </row>
    <row r="458" spans="2:5" ht="12.75" x14ac:dyDescent="0.2">
      <c r="B458" s="19"/>
      <c r="D458" s="19"/>
      <c r="E458" s="113"/>
    </row>
    <row r="459" spans="2:5" ht="12.75" x14ac:dyDescent="0.2">
      <c r="B459" s="19"/>
      <c r="D459" s="19"/>
      <c r="E459" s="113"/>
    </row>
    <row r="460" spans="2:5" ht="12.75" x14ac:dyDescent="0.2">
      <c r="B460" s="19"/>
      <c r="D460" s="19"/>
      <c r="E460" s="113"/>
    </row>
    <row r="461" spans="2:5" ht="12.75" x14ac:dyDescent="0.2">
      <c r="B461" s="19"/>
      <c r="D461" s="19"/>
      <c r="E461" s="113"/>
    </row>
    <row r="462" spans="2:5" ht="12.75" x14ac:dyDescent="0.2">
      <c r="B462" s="19"/>
      <c r="D462" s="19"/>
      <c r="E462" s="113"/>
    </row>
    <row r="463" spans="2:5" ht="12.75" x14ac:dyDescent="0.2">
      <c r="B463" s="19"/>
      <c r="D463" s="19"/>
      <c r="E463" s="113"/>
    </row>
    <row r="464" spans="2:5" ht="12.75" x14ac:dyDescent="0.2">
      <c r="B464" s="19"/>
      <c r="D464" s="19"/>
      <c r="E464" s="113"/>
    </row>
    <row r="465" spans="2:5" ht="12.75" x14ac:dyDescent="0.2">
      <c r="B465" s="19"/>
      <c r="D465" s="19"/>
      <c r="E465" s="113"/>
    </row>
    <row r="466" spans="2:5" ht="12.75" x14ac:dyDescent="0.2">
      <c r="B466" s="19"/>
      <c r="D466" s="19"/>
      <c r="E466" s="113"/>
    </row>
    <row r="467" spans="2:5" ht="12.75" x14ac:dyDescent="0.2">
      <c r="B467" s="19"/>
      <c r="D467" s="19"/>
      <c r="E467" s="113"/>
    </row>
    <row r="468" spans="2:5" ht="12.75" x14ac:dyDescent="0.2">
      <c r="B468" s="19"/>
      <c r="D468" s="19"/>
      <c r="E468" s="113"/>
    </row>
    <row r="469" spans="2:5" ht="12.75" x14ac:dyDescent="0.2">
      <c r="B469" s="19"/>
      <c r="D469" s="19"/>
      <c r="E469" s="113"/>
    </row>
    <row r="470" spans="2:5" ht="12.75" x14ac:dyDescent="0.2">
      <c r="B470" s="19"/>
      <c r="D470" s="19"/>
      <c r="E470" s="113"/>
    </row>
    <row r="471" spans="2:5" ht="12.75" x14ac:dyDescent="0.2">
      <c r="B471" s="19"/>
      <c r="D471" s="19"/>
      <c r="E471" s="113"/>
    </row>
    <row r="472" spans="2:5" ht="12.75" x14ac:dyDescent="0.2">
      <c r="B472" s="19"/>
      <c r="D472" s="19"/>
      <c r="E472" s="113"/>
    </row>
    <row r="473" spans="2:5" ht="12.75" x14ac:dyDescent="0.2">
      <c r="B473" s="19"/>
      <c r="D473" s="19"/>
      <c r="E473" s="113"/>
    </row>
    <row r="474" spans="2:5" ht="12.75" x14ac:dyDescent="0.2">
      <c r="B474" s="19"/>
      <c r="D474" s="19"/>
      <c r="E474" s="113"/>
    </row>
    <row r="475" spans="2:5" ht="12.75" x14ac:dyDescent="0.2">
      <c r="B475" s="19"/>
      <c r="D475" s="19"/>
      <c r="E475" s="113"/>
    </row>
    <row r="476" spans="2:5" ht="12.75" x14ac:dyDescent="0.2">
      <c r="B476" s="19"/>
      <c r="D476" s="19"/>
      <c r="E476" s="113"/>
    </row>
    <row r="477" spans="2:5" ht="12.75" x14ac:dyDescent="0.2">
      <c r="B477" s="19"/>
      <c r="D477" s="19"/>
      <c r="E477" s="113"/>
    </row>
    <row r="478" spans="2:5" ht="12.75" x14ac:dyDescent="0.2">
      <c r="B478" s="19"/>
      <c r="D478" s="19"/>
      <c r="E478" s="113"/>
    </row>
    <row r="479" spans="2:5" ht="12.75" x14ac:dyDescent="0.2">
      <c r="B479" s="19"/>
      <c r="D479" s="19"/>
      <c r="E479" s="113"/>
    </row>
    <row r="480" spans="2:5" ht="12.75" x14ac:dyDescent="0.2">
      <c r="B480" s="19"/>
      <c r="D480" s="19"/>
      <c r="E480" s="113"/>
    </row>
    <row r="481" spans="2:5" ht="12.75" x14ac:dyDescent="0.2">
      <c r="B481" s="19"/>
      <c r="D481" s="19"/>
      <c r="E481" s="113"/>
    </row>
    <row r="482" spans="2:5" ht="12.75" x14ac:dyDescent="0.2">
      <c r="B482" s="19"/>
      <c r="D482" s="19"/>
      <c r="E482" s="113"/>
    </row>
    <row r="483" spans="2:5" ht="12.75" x14ac:dyDescent="0.2">
      <c r="B483" s="19"/>
      <c r="D483" s="19"/>
      <c r="E483" s="113"/>
    </row>
    <row r="484" spans="2:5" ht="12.75" x14ac:dyDescent="0.2">
      <c r="B484" s="19"/>
      <c r="D484" s="19"/>
      <c r="E484" s="113"/>
    </row>
    <row r="485" spans="2:5" ht="12.75" x14ac:dyDescent="0.2">
      <c r="B485" s="19"/>
      <c r="D485" s="19"/>
      <c r="E485" s="113"/>
    </row>
    <row r="486" spans="2:5" ht="12.75" x14ac:dyDescent="0.2">
      <c r="B486" s="19"/>
      <c r="D486" s="19"/>
      <c r="E486" s="113"/>
    </row>
    <row r="487" spans="2:5" ht="12.75" x14ac:dyDescent="0.2">
      <c r="B487" s="19"/>
      <c r="D487" s="19"/>
      <c r="E487" s="113"/>
    </row>
    <row r="488" spans="2:5" ht="12.75" x14ac:dyDescent="0.2">
      <c r="B488" s="19"/>
      <c r="D488" s="19"/>
      <c r="E488" s="113"/>
    </row>
    <row r="489" spans="2:5" ht="12.75" x14ac:dyDescent="0.2">
      <c r="B489" s="19"/>
      <c r="D489" s="19"/>
      <c r="E489" s="113"/>
    </row>
    <row r="490" spans="2:5" ht="12.75" x14ac:dyDescent="0.2">
      <c r="B490" s="19"/>
      <c r="D490" s="19"/>
      <c r="E490" s="113"/>
    </row>
    <row r="491" spans="2:5" ht="12.75" x14ac:dyDescent="0.2">
      <c r="B491" s="19"/>
      <c r="D491" s="19"/>
      <c r="E491" s="113"/>
    </row>
    <row r="492" spans="2:5" ht="12.75" x14ac:dyDescent="0.2">
      <c r="B492" s="19"/>
      <c r="D492" s="19"/>
      <c r="E492" s="113"/>
    </row>
    <row r="493" spans="2:5" ht="12.75" x14ac:dyDescent="0.2">
      <c r="B493" s="19"/>
      <c r="D493" s="19"/>
      <c r="E493" s="113"/>
    </row>
    <row r="494" spans="2:5" ht="12.75" x14ac:dyDescent="0.2">
      <c r="B494" s="19"/>
      <c r="D494" s="19"/>
      <c r="E494" s="113"/>
    </row>
    <row r="495" spans="2:5" ht="12.75" x14ac:dyDescent="0.2">
      <c r="B495" s="19"/>
      <c r="D495" s="19"/>
      <c r="E495" s="113"/>
    </row>
    <row r="496" spans="2:5" ht="12.75" x14ac:dyDescent="0.2">
      <c r="B496" s="19"/>
      <c r="D496" s="19"/>
      <c r="E496" s="113"/>
    </row>
    <row r="497" spans="2:5" ht="12.75" x14ac:dyDescent="0.2">
      <c r="B497" s="19"/>
      <c r="D497" s="19"/>
      <c r="E497" s="113"/>
    </row>
    <row r="498" spans="2:5" ht="12.75" x14ac:dyDescent="0.2">
      <c r="B498" s="19"/>
      <c r="D498" s="19"/>
      <c r="E498" s="113"/>
    </row>
    <row r="499" spans="2:5" ht="12.75" x14ac:dyDescent="0.2">
      <c r="B499" s="19"/>
      <c r="D499" s="19"/>
      <c r="E499" s="113"/>
    </row>
    <row r="500" spans="2:5" ht="12.75" x14ac:dyDescent="0.2">
      <c r="B500" s="19"/>
      <c r="D500" s="19"/>
      <c r="E500" s="113"/>
    </row>
    <row r="501" spans="2:5" ht="12.75" x14ac:dyDescent="0.2">
      <c r="B501" s="19"/>
      <c r="D501" s="19"/>
      <c r="E501" s="113"/>
    </row>
    <row r="502" spans="2:5" ht="12.75" x14ac:dyDescent="0.2">
      <c r="B502" s="19"/>
      <c r="D502" s="19"/>
      <c r="E502" s="113"/>
    </row>
    <row r="503" spans="2:5" ht="12.75" x14ac:dyDescent="0.2">
      <c r="B503" s="19"/>
      <c r="D503" s="19"/>
      <c r="E503" s="113"/>
    </row>
    <row r="504" spans="2:5" ht="12.75" x14ac:dyDescent="0.2">
      <c r="B504" s="19"/>
      <c r="D504" s="19"/>
      <c r="E504" s="113"/>
    </row>
    <row r="505" spans="2:5" ht="12.75" x14ac:dyDescent="0.2">
      <c r="B505" s="19"/>
      <c r="D505" s="19"/>
      <c r="E505" s="113"/>
    </row>
    <row r="506" spans="2:5" ht="12.75" x14ac:dyDescent="0.2">
      <c r="B506" s="19"/>
      <c r="D506" s="19"/>
      <c r="E506" s="113"/>
    </row>
    <row r="507" spans="2:5" ht="12.75" x14ac:dyDescent="0.2">
      <c r="B507" s="19"/>
      <c r="D507" s="19"/>
      <c r="E507" s="113"/>
    </row>
    <row r="508" spans="2:5" ht="12.75" x14ac:dyDescent="0.2">
      <c r="B508" s="19"/>
      <c r="D508" s="19"/>
      <c r="E508" s="113"/>
    </row>
    <row r="509" spans="2:5" ht="12.75" x14ac:dyDescent="0.2">
      <c r="B509" s="19"/>
      <c r="D509" s="19"/>
      <c r="E509" s="113"/>
    </row>
    <row r="510" spans="2:5" ht="12.75" x14ac:dyDescent="0.2">
      <c r="B510" s="19"/>
      <c r="D510" s="19"/>
      <c r="E510" s="113"/>
    </row>
    <row r="511" spans="2:5" ht="12.75" x14ac:dyDescent="0.2">
      <c r="B511" s="19"/>
      <c r="D511" s="19"/>
      <c r="E511" s="113"/>
    </row>
    <row r="512" spans="2:5" ht="12.75" x14ac:dyDescent="0.2">
      <c r="B512" s="19"/>
      <c r="D512" s="19"/>
      <c r="E512" s="113"/>
    </row>
    <row r="513" spans="2:5" ht="12.75" x14ac:dyDescent="0.2">
      <c r="B513" s="19"/>
      <c r="D513" s="19"/>
      <c r="E513" s="113"/>
    </row>
    <row r="514" spans="2:5" ht="12.75" x14ac:dyDescent="0.2">
      <c r="B514" s="19"/>
      <c r="D514" s="19"/>
      <c r="E514" s="113"/>
    </row>
    <row r="515" spans="2:5" ht="12.75" x14ac:dyDescent="0.2">
      <c r="B515" s="19"/>
      <c r="D515" s="19"/>
      <c r="E515" s="113"/>
    </row>
    <row r="516" spans="2:5" ht="12.75" x14ac:dyDescent="0.2">
      <c r="B516" s="19"/>
      <c r="D516" s="19"/>
      <c r="E516" s="113"/>
    </row>
    <row r="517" spans="2:5" ht="12.75" x14ac:dyDescent="0.2">
      <c r="B517" s="19"/>
      <c r="D517" s="19"/>
      <c r="E517" s="113"/>
    </row>
    <row r="518" spans="2:5" ht="12.75" x14ac:dyDescent="0.2">
      <c r="B518" s="19"/>
      <c r="D518" s="19"/>
      <c r="E518" s="113"/>
    </row>
    <row r="519" spans="2:5" ht="12.75" x14ac:dyDescent="0.2">
      <c r="B519" s="19"/>
      <c r="D519" s="19"/>
      <c r="E519" s="113"/>
    </row>
    <row r="520" spans="2:5" ht="12.75" x14ac:dyDescent="0.2">
      <c r="B520" s="19"/>
      <c r="D520" s="19"/>
      <c r="E520" s="113"/>
    </row>
    <row r="521" spans="2:5" ht="12.75" x14ac:dyDescent="0.2">
      <c r="B521" s="19"/>
      <c r="D521" s="19"/>
      <c r="E521" s="113"/>
    </row>
    <row r="522" spans="2:5" ht="12.75" x14ac:dyDescent="0.2">
      <c r="B522" s="19"/>
      <c r="D522" s="19"/>
      <c r="E522" s="113"/>
    </row>
    <row r="523" spans="2:5" ht="12.75" x14ac:dyDescent="0.2">
      <c r="B523" s="19"/>
      <c r="D523" s="19"/>
      <c r="E523" s="113"/>
    </row>
    <row r="524" spans="2:5" ht="12.75" x14ac:dyDescent="0.2">
      <c r="B524" s="19"/>
      <c r="D524" s="19"/>
      <c r="E524" s="113"/>
    </row>
    <row r="525" spans="2:5" ht="12.75" x14ac:dyDescent="0.2">
      <c r="B525" s="19"/>
      <c r="D525" s="19"/>
      <c r="E525" s="113"/>
    </row>
    <row r="526" spans="2:5" ht="12.75" x14ac:dyDescent="0.2">
      <c r="B526" s="19"/>
      <c r="D526" s="19"/>
      <c r="E526" s="113"/>
    </row>
    <row r="527" spans="2:5" ht="12.75" x14ac:dyDescent="0.2">
      <c r="B527" s="19"/>
      <c r="D527" s="19"/>
      <c r="E527" s="113"/>
    </row>
    <row r="528" spans="2:5" ht="12.75" x14ac:dyDescent="0.2">
      <c r="B528" s="19"/>
      <c r="D528" s="19"/>
      <c r="E528" s="113"/>
    </row>
    <row r="529" spans="2:5" ht="12.75" x14ac:dyDescent="0.2">
      <c r="B529" s="19"/>
      <c r="D529" s="19"/>
      <c r="E529" s="113"/>
    </row>
    <row r="530" spans="2:5" ht="12.75" x14ac:dyDescent="0.2">
      <c r="B530" s="19"/>
      <c r="D530" s="19"/>
      <c r="E530" s="113"/>
    </row>
    <row r="531" spans="2:5" ht="12.75" x14ac:dyDescent="0.2">
      <c r="B531" s="19"/>
      <c r="D531" s="19"/>
      <c r="E531" s="113"/>
    </row>
    <row r="532" spans="2:5" ht="12.75" x14ac:dyDescent="0.2">
      <c r="B532" s="19"/>
      <c r="D532" s="19"/>
      <c r="E532" s="113"/>
    </row>
    <row r="533" spans="2:5" ht="12.75" x14ac:dyDescent="0.2">
      <c r="B533" s="19"/>
      <c r="D533" s="19"/>
      <c r="E533" s="113"/>
    </row>
    <row r="534" spans="2:5" ht="12.75" x14ac:dyDescent="0.2">
      <c r="B534" s="19"/>
      <c r="D534" s="19"/>
      <c r="E534" s="113"/>
    </row>
    <row r="535" spans="2:5" ht="12.75" x14ac:dyDescent="0.2">
      <c r="B535" s="19"/>
      <c r="D535" s="19"/>
      <c r="E535" s="113"/>
    </row>
    <row r="536" spans="2:5" ht="12.75" x14ac:dyDescent="0.2">
      <c r="B536" s="19"/>
      <c r="D536" s="19"/>
      <c r="E536" s="113"/>
    </row>
    <row r="537" spans="2:5" ht="12.75" x14ac:dyDescent="0.2">
      <c r="B537" s="19"/>
      <c r="D537" s="19"/>
      <c r="E537" s="113"/>
    </row>
    <row r="538" spans="2:5" ht="12.75" x14ac:dyDescent="0.2">
      <c r="B538" s="19"/>
      <c r="D538" s="19"/>
      <c r="E538" s="113"/>
    </row>
    <row r="539" spans="2:5" ht="12.75" x14ac:dyDescent="0.2">
      <c r="B539" s="19"/>
      <c r="D539" s="19"/>
      <c r="E539" s="113"/>
    </row>
    <row r="540" spans="2:5" ht="12.75" x14ac:dyDescent="0.2">
      <c r="B540" s="19"/>
      <c r="D540" s="19"/>
      <c r="E540" s="113"/>
    </row>
    <row r="541" spans="2:5" ht="12.75" x14ac:dyDescent="0.2">
      <c r="B541" s="19"/>
      <c r="D541" s="19"/>
      <c r="E541" s="113"/>
    </row>
    <row r="542" spans="2:5" ht="12.75" x14ac:dyDescent="0.2">
      <c r="B542" s="19"/>
      <c r="D542" s="19"/>
      <c r="E542" s="113"/>
    </row>
    <row r="543" spans="2:5" ht="12.75" x14ac:dyDescent="0.2">
      <c r="B543" s="19"/>
      <c r="D543" s="19"/>
      <c r="E543" s="113"/>
    </row>
    <row r="544" spans="2:5" ht="12.75" x14ac:dyDescent="0.2">
      <c r="B544" s="19"/>
      <c r="D544" s="19"/>
      <c r="E544" s="113"/>
    </row>
    <row r="545" spans="2:5" ht="12.75" x14ac:dyDescent="0.2">
      <c r="B545" s="19"/>
      <c r="D545" s="19"/>
      <c r="E545" s="113"/>
    </row>
    <row r="546" spans="2:5" ht="12.75" x14ac:dyDescent="0.2">
      <c r="B546" s="19"/>
      <c r="D546" s="19"/>
      <c r="E546" s="113"/>
    </row>
    <row r="547" spans="2:5" ht="12.75" x14ac:dyDescent="0.2">
      <c r="B547" s="19"/>
      <c r="D547" s="19"/>
      <c r="E547" s="113"/>
    </row>
    <row r="548" spans="2:5" ht="12.75" x14ac:dyDescent="0.2">
      <c r="B548" s="19"/>
      <c r="D548" s="19"/>
      <c r="E548" s="113"/>
    </row>
    <row r="549" spans="2:5" ht="12.75" x14ac:dyDescent="0.2">
      <c r="B549" s="19"/>
      <c r="D549" s="19"/>
      <c r="E549" s="113"/>
    </row>
    <row r="550" spans="2:5" ht="12.75" x14ac:dyDescent="0.2">
      <c r="B550" s="19"/>
      <c r="D550" s="19"/>
      <c r="E550" s="113"/>
    </row>
    <row r="551" spans="2:5" ht="12.75" x14ac:dyDescent="0.2">
      <c r="B551" s="19"/>
      <c r="D551" s="19"/>
      <c r="E551" s="113"/>
    </row>
    <row r="552" spans="2:5" ht="12.75" x14ac:dyDescent="0.2">
      <c r="B552" s="19"/>
      <c r="D552" s="19"/>
      <c r="E552" s="113"/>
    </row>
    <row r="553" spans="2:5" ht="12.75" x14ac:dyDescent="0.2">
      <c r="B553" s="19"/>
      <c r="D553" s="19"/>
      <c r="E553" s="113"/>
    </row>
    <row r="554" spans="2:5" ht="12.75" x14ac:dyDescent="0.2">
      <c r="B554" s="19"/>
      <c r="D554" s="19"/>
      <c r="E554" s="113"/>
    </row>
    <row r="555" spans="2:5" ht="12.75" x14ac:dyDescent="0.2">
      <c r="B555" s="19"/>
      <c r="D555" s="19"/>
      <c r="E555" s="113"/>
    </row>
    <row r="556" spans="2:5" ht="12.75" x14ac:dyDescent="0.2">
      <c r="B556" s="19"/>
      <c r="D556" s="19"/>
      <c r="E556" s="113"/>
    </row>
    <row r="557" spans="2:5" ht="12.75" x14ac:dyDescent="0.2">
      <c r="B557" s="19"/>
      <c r="D557" s="19"/>
      <c r="E557" s="113"/>
    </row>
    <row r="558" spans="2:5" ht="12.75" x14ac:dyDescent="0.2">
      <c r="B558" s="19"/>
      <c r="D558" s="19"/>
      <c r="E558" s="113"/>
    </row>
    <row r="559" spans="2:5" ht="12.75" x14ac:dyDescent="0.2">
      <c r="B559" s="19"/>
      <c r="D559" s="19"/>
      <c r="E559" s="113"/>
    </row>
    <row r="560" spans="2:5" ht="12.75" x14ac:dyDescent="0.2">
      <c r="B560" s="19"/>
      <c r="D560" s="19"/>
      <c r="E560" s="113"/>
    </row>
    <row r="561" spans="2:5" ht="12.75" x14ac:dyDescent="0.2">
      <c r="B561" s="19"/>
      <c r="D561" s="19"/>
      <c r="E561" s="113"/>
    </row>
    <row r="562" spans="2:5" ht="12.75" x14ac:dyDescent="0.2">
      <c r="B562" s="19"/>
      <c r="D562" s="19"/>
      <c r="E562" s="113"/>
    </row>
    <row r="563" spans="2:5" ht="12.75" x14ac:dyDescent="0.2">
      <c r="B563" s="19"/>
      <c r="D563" s="19"/>
      <c r="E563" s="113"/>
    </row>
    <row r="564" spans="2:5" ht="12.75" x14ac:dyDescent="0.2">
      <c r="B564" s="19"/>
      <c r="D564" s="19"/>
      <c r="E564" s="113"/>
    </row>
    <row r="565" spans="2:5" ht="12.75" x14ac:dyDescent="0.2">
      <c r="B565" s="19"/>
      <c r="D565" s="19"/>
      <c r="E565" s="113"/>
    </row>
    <row r="566" spans="2:5" ht="12.75" x14ac:dyDescent="0.2">
      <c r="B566" s="19"/>
      <c r="D566" s="19"/>
      <c r="E566" s="113"/>
    </row>
    <row r="567" spans="2:5" ht="12.75" x14ac:dyDescent="0.2">
      <c r="B567" s="19"/>
      <c r="D567" s="19"/>
      <c r="E567" s="113"/>
    </row>
    <row r="568" spans="2:5" ht="12.75" x14ac:dyDescent="0.2">
      <c r="B568" s="19"/>
      <c r="D568" s="19"/>
      <c r="E568" s="113"/>
    </row>
    <row r="569" spans="2:5" ht="12.75" x14ac:dyDescent="0.2">
      <c r="B569" s="19"/>
      <c r="D569" s="19"/>
      <c r="E569" s="113"/>
    </row>
    <row r="570" spans="2:5" ht="12.75" x14ac:dyDescent="0.2">
      <c r="B570" s="19"/>
      <c r="D570" s="19"/>
      <c r="E570" s="113"/>
    </row>
    <row r="571" spans="2:5" ht="12.75" x14ac:dyDescent="0.2">
      <c r="B571" s="19"/>
      <c r="D571" s="19"/>
      <c r="E571" s="113"/>
    </row>
    <row r="572" spans="2:5" ht="12.75" x14ac:dyDescent="0.2">
      <c r="B572" s="19"/>
      <c r="D572" s="19"/>
      <c r="E572" s="113"/>
    </row>
    <row r="573" spans="2:5" ht="12.75" x14ac:dyDescent="0.2">
      <c r="B573" s="19"/>
      <c r="D573" s="19"/>
      <c r="E573" s="113"/>
    </row>
    <row r="574" spans="2:5" ht="12.75" x14ac:dyDescent="0.2">
      <c r="B574" s="19"/>
      <c r="D574" s="19"/>
      <c r="E574" s="113"/>
    </row>
    <row r="575" spans="2:5" ht="12.75" x14ac:dyDescent="0.2">
      <c r="B575" s="19"/>
      <c r="D575" s="19"/>
      <c r="E575" s="113"/>
    </row>
    <row r="576" spans="2:5" ht="12.75" x14ac:dyDescent="0.2">
      <c r="B576" s="19"/>
      <c r="D576" s="19"/>
      <c r="E576" s="113"/>
    </row>
    <row r="577" spans="2:5" ht="12.75" x14ac:dyDescent="0.2">
      <c r="B577" s="19"/>
      <c r="D577" s="19"/>
      <c r="E577" s="113"/>
    </row>
    <row r="578" spans="2:5" ht="12.75" x14ac:dyDescent="0.2">
      <c r="B578" s="19"/>
      <c r="D578" s="19"/>
      <c r="E578" s="113"/>
    </row>
    <row r="579" spans="2:5" ht="12.75" x14ac:dyDescent="0.2">
      <c r="B579" s="19"/>
      <c r="D579" s="19"/>
      <c r="E579" s="113"/>
    </row>
    <row r="580" spans="2:5" ht="12.75" x14ac:dyDescent="0.2">
      <c r="B580" s="19"/>
      <c r="D580" s="19"/>
      <c r="E580" s="113"/>
    </row>
    <row r="581" spans="2:5" ht="12.75" x14ac:dyDescent="0.2">
      <c r="B581" s="19"/>
      <c r="D581" s="19"/>
      <c r="E581" s="113"/>
    </row>
    <row r="582" spans="2:5" ht="12.75" x14ac:dyDescent="0.2">
      <c r="B582" s="19"/>
      <c r="D582" s="19"/>
      <c r="E582" s="113"/>
    </row>
    <row r="583" spans="2:5" ht="12.75" x14ac:dyDescent="0.2">
      <c r="B583" s="19"/>
      <c r="D583" s="19"/>
      <c r="E583" s="113"/>
    </row>
    <row r="584" spans="2:5" ht="12.75" x14ac:dyDescent="0.2">
      <c r="B584" s="19"/>
      <c r="D584" s="19"/>
      <c r="E584" s="113"/>
    </row>
    <row r="585" spans="2:5" ht="12.75" x14ac:dyDescent="0.2">
      <c r="B585" s="19"/>
      <c r="D585" s="19"/>
      <c r="E585" s="113"/>
    </row>
    <row r="586" spans="2:5" ht="12.75" x14ac:dyDescent="0.2">
      <c r="B586" s="19"/>
      <c r="D586" s="19"/>
      <c r="E586" s="113"/>
    </row>
    <row r="587" spans="2:5" ht="12.75" x14ac:dyDescent="0.2">
      <c r="B587" s="19"/>
      <c r="D587" s="19"/>
      <c r="E587" s="113"/>
    </row>
    <row r="588" spans="2:5" ht="12.75" x14ac:dyDescent="0.2">
      <c r="B588" s="19"/>
      <c r="D588" s="19"/>
      <c r="E588" s="113"/>
    </row>
    <row r="589" spans="2:5" ht="12.75" x14ac:dyDescent="0.2">
      <c r="B589" s="19"/>
      <c r="D589" s="19"/>
      <c r="E589" s="113"/>
    </row>
    <row r="590" spans="2:5" ht="12.75" x14ac:dyDescent="0.2">
      <c r="B590" s="19"/>
      <c r="D590" s="19"/>
      <c r="E590" s="113"/>
    </row>
    <row r="591" spans="2:5" ht="12.75" x14ac:dyDescent="0.2">
      <c r="B591" s="19"/>
      <c r="D591" s="19"/>
      <c r="E591" s="113"/>
    </row>
    <row r="592" spans="2:5" ht="12.75" x14ac:dyDescent="0.2">
      <c r="B592" s="19"/>
      <c r="D592" s="19"/>
      <c r="E592" s="113"/>
    </row>
    <row r="593" spans="2:5" ht="12.75" x14ac:dyDescent="0.2">
      <c r="B593" s="19"/>
      <c r="D593" s="19"/>
      <c r="E593" s="113"/>
    </row>
    <row r="594" spans="2:5" ht="12.75" x14ac:dyDescent="0.2">
      <c r="B594" s="19"/>
      <c r="D594" s="19"/>
      <c r="E594" s="113"/>
    </row>
    <row r="595" spans="2:5" ht="12.75" x14ac:dyDescent="0.2">
      <c r="B595" s="19"/>
      <c r="D595" s="19"/>
      <c r="E595" s="113"/>
    </row>
    <row r="596" spans="2:5" ht="12.75" x14ac:dyDescent="0.2">
      <c r="B596" s="19"/>
      <c r="D596" s="19"/>
      <c r="E596" s="113"/>
    </row>
    <row r="597" spans="2:5" ht="12.75" x14ac:dyDescent="0.2">
      <c r="B597" s="19"/>
      <c r="D597" s="19"/>
      <c r="E597" s="113"/>
    </row>
    <row r="598" spans="2:5" ht="12.75" x14ac:dyDescent="0.2">
      <c r="B598" s="19"/>
      <c r="D598" s="19"/>
      <c r="E598" s="113"/>
    </row>
    <row r="599" spans="2:5" ht="12.75" x14ac:dyDescent="0.2">
      <c r="B599" s="19"/>
      <c r="D599" s="19"/>
      <c r="E599" s="113"/>
    </row>
    <row r="600" spans="2:5" ht="12.75" x14ac:dyDescent="0.2">
      <c r="B600" s="19"/>
      <c r="D600" s="19"/>
      <c r="E600" s="113"/>
    </row>
    <row r="601" spans="2:5" ht="12.75" x14ac:dyDescent="0.2">
      <c r="B601" s="19"/>
      <c r="D601" s="19"/>
      <c r="E601" s="113"/>
    </row>
    <row r="602" spans="2:5" ht="12.75" x14ac:dyDescent="0.2">
      <c r="B602" s="19"/>
      <c r="D602" s="19"/>
      <c r="E602" s="113"/>
    </row>
    <row r="603" spans="2:5" ht="12.75" x14ac:dyDescent="0.2">
      <c r="B603" s="19"/>
      <c r="D603" s="19"/>
      <c r="E603" s="113"/>
    </row>
    <row r="604" spans="2:5" ht="12.75" x14ac:dyDescent="0.2">
      <c r="B604" s="19"/>
      <c r="D604" s="19"/>
      <c r="E604" s="113"/>
    </row>
    <row r="605" spans="2:5" ht="12.75" x14ac:dyDescent="0.2">
      <c r="B605" s="19"/>
      <c r="D605" s="19"/>
      <c r="E605" s="113"/>
    </row>
    <row r="606" spans="2:5" ht="12.75" x14ac:dyDescent="0.2">
      <c r="B606" s="19"/>
      <c r="D606" s="19"/>
      <c r="E606" s="113"/>
    </row>
    <row r="607" spans="2:5" ht="12.75" x14ac:dyDescent="0.2">
      <c r="B607" s="19"/>
      <c r="D607" s="19"/>
      <c r="E607" s="113"/>
    </row>
    <row r="608" spans="2:5" ht="12.75" x14ac:dyDescent="0.2">
      <c r="B608" s="19"/>
      <c r="D608" s="19"/>
      <c r="E608" s="113"/>
    </row>
    <row r="609" spans="2:5" ht="12.75" x14ac:dyDescent="0.2">
      <c r="B609" s="19"/>
      <c r="D609" s="19"/>
      <c r="E609" s="113"/>
    </row>
    <row r="610" spans="2:5" ht="12.75" x14ac:dyDescent="0.2">
      <c r="B610" s="19"/>
      <c r="D610" s="19"/>
      <c r="E610" s="113"/>
    </row>
    <row r="611" spans="2:5" ht="12.75" x14ac:dyDescent="0.2">
      <c r="B611" s="19"/>
      <c r="D611" s="19"/>
      <c r="E611" s="113"/>
    </row>
    <row r="612" spans="2:5" ht="12.75" x14ac:dyDescent="0.2">
      <c r="B612" s="19"/>
      <c r="D612" s="19"/>
      <c r="E612" s="113"/>
    </row>
    <row r="613" spans="2:5" ht="12.75" x14ac:dyDescent="0.2">
      <c r="B613" s="19"/>
      <c r="D613" s="19"/>
      <c r="E613" s="113"/>
    </row>
    <row r="614" spans="2:5" ht="12.75" x14ac:dyDescent="0.2">
      <c r="B614" s="19"/>
      <c r="D614" s="19"/>
      <c r="E614" s="113"/>
    </row>
    <row r="615" spans="2:5" ht="12.75" x14ac:dyDescent="0.2">
      <c r="B615" s="19"/>
      <c r="D615" s="19"/>
      <c r="E615" s="113"/>
    </row>
    <row r="616" spans="2:5" ht="12.75" x14ac:dyDescent="0.2">
      <c r="B616" s="19"/>
      <c r="D616" s="19"/>
      <c r="E616" s="113"/>
    </row>
    <row r="617" spans="2:5" ht="12.75" x14ac:dyDescent="0.2">
      <c r="B617" s="19"/>
      <c r="D617" s="19"/>
      <c r="E617" s="113"/>
    </row>
    <row r="618" spans="2:5" ht="12.75" x14ac:dyDescent="0.2">
      <c r="B618" s="19"/>
      <c r="D618" s="19"/>
      <c r="E618" s="113"/>
    </row>
    <row r="619" spans="2:5" ht="12.75" x14ac:dyDescent="0.2">
      <c r="B619" s="19"/>
      <c r="D619" s="19"/>
      <c r="E619" s="113"/>
    </row>
    <row r="620" spans="2:5" ht="12.75" x14ac:dyDescent="0.2">
      <c r="B620" s="19"/>
      <c r="D620" s="19"/>
      <c r="E620" s="113"/>
    </row>
    <row r="621" spans="2:5" ht="12.75" x14ac:dyDescent="0.2">
      <c r="B621" s="19"/>
      <c r="D621" s="19"/>
      <c r="E621" s="113"/>
    </row>
    <row r="622" spans="2:5" ht="12.75" x14ac:dyDescent="0.2">
      <c r="B622" s="19"/>
      <c r="D622" s="19"/>
      <c r="E622" s="113"/>
    </row>
    <row r="623" spans="2:5" ht="12.75" x14ac:dyDescent="0.2">
      <c r="B623" s="19"/>
      <c r="D623" s="19"/>
      <c r="E623" s="113"/>
    </row>
    <row r="624" spans="2:5" ht="12.75" x14ac:dyDescent="0.2">
      <c r="B624" s="19"/>
      <c r="D624" s="19"/>
      <c r="E624" s="113"/>
    </row>
    <row r="625" spans="2:5" ht="12.75" x14ac:dyDescent="0.2">
      <c r="B625" s="19"/>
      <c r="D625" s="19"/>
      <c r="E625" s="113"/>
    </row>
    <row r="626" spans="2:5" ht="12.75" x14ac:dyDescent="0.2">
      <c r="B626" s="19"/>
      <c r="D626" s="19"/>
      <c r="E626" s="113"/>
    </row>
    <row r="627" spans="2:5" ht="12.75" x14ac:dyDescent="0.2">
      <c r="B627" s="19"/>
      <c r="D627" s="19"/>
      <c r="E627" s="113"/>
    </row>
    <row r="628" spans="2:5" ht="12.75" x14ac:dyDescent="0.2">
      <c r="B628" s="19"/>
      <c r="D628" s="19"/>
      <c r="E628" s="113"/>
    </row>
    <row r="629" spans="2:5" ht="12.75" x14ac:dyDescent="0.2">
      <c r="B629" s="19"/>
      <c r="D629" s="19"/>
      <c r="E629" s="113"/>
    </row>
    <row r="630" spans="2:5" ht="12.75" x14ac:dyDescent="0.2">
      <c r="B630" s="19"/>
      <c r="D630" s="19"/>
      <c r="E630" s="113"/>
    </row>
    <row r="631" spans="2:5" ht="12.75" x14ac:dyDescent="0.2">
      <c r="B631" s="19"/>
      <c r="D631" s="19"/>
      <c r="E631" s="113"/>
    </row>
    <row r="632" spans="2:5" ht="12.75" x14ac:dyDescent="0.2">
      <c r="B632" s="19"/>
      <c r="D632" s="19"/>
      <c r="E632" s="113"/>
    </row>
    <row r="633" spans="2:5" ht="12.75" x14ac:dyDescent="0.2">
      <c r="B633" s="19"/>
      <c r="D633" s="19"/>
      <c r="E633" s="113"/>
    </row>
    <row r="634" spans="2:5" ht="12.75" x14ac:dyDescent="0.2">
      <c r="B634" s="19"/>
      <c r="D634" s="19"/>
      <c r="E634" s="113"/>
    </row>
    <row r="635" spans="2:5" ht="12.75" x14ac:dyDescent="0.2">
      <c r="B635" s="19"/>
      <c r="D635" s="19"/>
      <c r="E635" s="113"/>
    </row>
    <row r="636" spans="2:5" ht="12.75" x14ac:dyDescent="0.2">
      <c r="B636" s="19"/>
      <c r="D636" s="19"/>
      <c r="E636" s="113"/>
    </row>
    <row r="637" spans="2:5" ht="12.75" x14ac:dyDescent="0.2">
      <c r="B637" s="19"/>
      <c r="D637" s="19"/>
      <c r="E637" s="113"/>
    </row>
    <row r="638" spans="2:5" ht="12.75" x14ac:dyDescent="0.2">
      <c r="B638" s="19"/>
      <c r="D638" s="19"/>
      <c r="E638" s="113"/>
    </row>
    <row r="639" spans="2:5" ht="12.75" x14ac:dyDescent="0.2">
      <c r="B639" s="19"/>
      <c r="D639" s="19"/>
      <c r="E639" s="113"/>
    </row>
    <row r="640" spans="2:5" ht="12.75" x14ac:dyDescent="0.2">
      <c r="B640" s="19"/>
      <c r="D640" s="19"/>
      <c r="E640" s="113"/>
    </row>
    <row r="641" spans="2:5" ht="12.75" x14ac:dyDescent="0.2">
      <c r="B641" s="19"/>
      <c r="D641" s="19"/>
      <c r="E641" s="113"/>
    </row>
    <row r="642" spans="2:5" ht="12.75" x14ac:dyDescent="0.2">
      <c r="B642" s="19"/>
      <c r="D642" s="19"/>
      <c r="E642" s="113"/>
    </row>
    <row r="643" spans="2:5" ht="12.75" x14ac:dyDescent="0.2">
      <c r="B643" s="19"/>
      <c r="D643" s="19"/>
      <c r="E643" s="113"/>
    </row>
    <row r="644" spans="2:5" ht="12.75" x14ac:dyDescent="0.2">
      <c r="B644" s="19"/>
      <c r="D644" s="19"/>
      <c r="E644" s="113"/>
    </row>
    <row r="645" spans="2:5" ht="12.75" x14ac:dyDescent="0.2">
      <c r="B645" s="19"/>
      <c r="D645" s="19"/>
      <c r="E645" s="113"/>
    </row>
    <row r="646" spans="2:5" ht="12.75" x14ac:dyDescent="0.2">
      <c r="B646" s="19"/>
      <c r="D646" s="19"/>
      <c r="E646" s="113"/>
    </row>
    <row r="647" spans="2:5" ht="12.75" x14ac:dyDescent="0.2">
      <c r="B647" s="19"/>
      <c r="D647" s="19"/>
      <c r="E647" s="113"/>
    </row>
    <row r="648" spans="2:5" ht="12.75" x14ac:dyDescent="0.2">
      <c r="B648" s="19"/>
      <c r="D648" s="19"/>
      <c r="E648" s="113"/>
    </row>
    <row r="649" spans="2:5" ht="12.75" x14ac:dyDescent="0.2">
      <c r="B649" s="19"/>
      <c r="D649" s="19"/>
      <c r="E649" s="113"/>
    </row>
    <row r="650" spans="2:5" ht="12.75" x14ac:dyDescent="0.2">
      <c r="B650" s="19"/>
      <c r="D650" s="19"/>
      <c r="E650" s="113"/>
    </row>
    <row r="651" spans="2:5" ht="12.75" x14ac:dyDescent="0.2">
      <c r="B651" s="19"/>
      <c r="D651" s="19"/>
      <c r="E651" s="113"/>
    </row>
    <row r="652" spans="2:5" ht="12.75" x14ac:dyDescent="0.2">
      <c r="B652" s="19"/>
      <c r="D652" s="19"/>
      <c r="E652" s="113"/>
    </row>
    <row r="653" spans="2:5" ht="12.75" x14ac:dyDescent="0.2">
      <c r="B653" s="19"/>
      <c r="D653" s="19"/>
      <c r="E653" s="113"/>
    </row>
    <row r="654" spans="2:5" ht="12.75" x14ac:dyDescent="0.2">
      <c r="B654" s="19"/>
      <c r="D654" s="19"/>
      <c r="E654" s="113"/>
    </row>
    <row r="655" spans="2:5" ht="12.75" x14ac:dyDescent="0.2">
      <c r="B655" s="19"/>
      <c r="D655" s="19"/>
      <c r="E655" s="113"/>
    </row>
    <row r="656" spans="2:5" ht="12.75" x14ac:dyDescent="0.2">
      <c r="B656" s="19"/>
      <c r="D656" s="19"/>
      <c r="E656" s="113"/>
    </row>
    <row r="657" spans="2:5" ht="12.75" x14ac:dyDescent="0.2">
      <c r="B657" s="19"/>
      <c r="D657" s="19"/>
      <c r="E657" s="113"/>
    </row>
    <row r="658" spans="2:5" ht="12.75" x14ac:dyDescent="0.2">
      <c r="B658" s="19"/>
      <c r="D658" s="19"/>
      <c r="E658" s="113"/>
    </row>
    <row r="659" spans="2:5" ht="12.75" x14ac:dyDescent="0.2">
      <c r="B659" s="19"/>
      <c r="D659" s="19"/>
      <c r="E659" s="113"/>
    </row>
    <row r="660" spans="2:5" ht="12.75" x14ac:dyDescent="0.2">
      <c r="B660" s="19"/>
      <c r="D660" s="19"/>
      <c r="E660" s="113"/>
    </row>
    <row r="661" spans="2:5" ht="12.75" x14ac:dyDescent="0.2">
      <c r="B661" s="19"/>
      <c r="D661" s="19"/>
      <c r="E661" s="113"/>
    </row>
    <row r="662" spans="2:5" ht="12.75" x14ac:dyDescent="0.2">
      <c r="B662" s="19"/>
      <c r="D662" s="19"/>
      <c r="E662" s="113"/>
    </row>
    <row r="663" spans="2:5" ht="12.75" x14ac:dyDescent="0.2">
      <c r="B663" s="19"/>
      <c r="D663" s="19"/>
      <c r="E663" s="113"/>
    </row>
    <row r="664" spans="2:5" ht="12.75" x14ac:dyDescent="0.2">
      <c r="B664" s="19"/>
      <c r="D664" s="19"/>
      <c r="E664" s="113"/>
    </row>
    <row r="665" spans="2:5" ht="12.75" x14ac:dyDescent="0.2">
      <c r="B665" s="19"/>
      <c r="D665" s="19"/>
      <c r="E665" s="113"/>
    </row>
    <row r="666" spans="2:5" ht="12.75" x14ac:dyDescent="0.2">
      <c r="B666" s="19"/>
      <c r="D666" s="19"/>
      <c r="E666" s="113"/>
    </row>
    <row r="667" spans="2:5" ht="12.75" x14ac:dyDescent="0.2">
      <c r="B667" s="19"/>
      <c r="D667" s="19"/>
      <c r="E667" s="113"/>
    </row>
    <row r="668" spans="2:5" ht="12.75" x14ac:dyDescent="0.2">
      <c r="B668" s="19"/>
      <c r="D668" s="19"/>
      <c r="E668" s="113"/>
    </row>
    <row r="669" spans="2:5" ht="12.75" x14ac:dyDescent="0.2">
      <c r="B669" s="19"/>
      <c r="D669" s="19"/>
      <c r="E669" s="113"/>
    </row>
    <row r="670" spans="2:5" ht="12.75" x14ac:dyDescent="0.2">
      <c r="B670" s="19"/>
      <c r="D670" s="19"/>
      <c r="E670" s="113"/>
    </row>
    <row r="671" spans="2:5" ht="12.75" x14ac:dyDescent="0.2">
      <c r="B671" s="19"/>
      <c r="D671" s="19"/>
      <c r="E671" s="113"/>
    </row>
    <row r="672" spans="2:5" ht="12.75" x14ac:dyDescent="0.2">
      <c r="B672" s="19"/>
      <c r="D672" s="19"/>
      <c r="E672" s="113"/>
    </row>
    <row r="673" spans="2:5" ht="12.75" x14ac:dyDescent="0.2">
      <c r="B673" s="19"/>
      <c r="D673" s="19"/>
      <c r="E673" s="113"/>
    </row>
    <row r="674" spans="2:5" ht="12.75" x14ac:dyDescent="0.2">
      <c r="B674" s="19"/>
      <c r="D674" s="19"/>
      <c r="E674" s="113"/>
    </row>
    <row r="675" spans="2:5" ht="12.75" x14ac:dyDescent="0.2">
      <c r="B675" s="19"/>
      <c r="D675" s="19"/>
      <c r="E675" s="113"/>
    </row>
    <row r="676" spans="2:5" ht="12.75" x14ac:dyDescent="0.2">
      <c r="B676" s="19"/>
      <c r="D676" s="19"/>
      <c r="E676" s="113"/>
    </row>
    <row r="677" spans="2:5" ht="12.75" x14ac:dyDescent="0.2">
      <c r="B677" s="19"/>
      <c r="D677" s="19"/>
      <c r="E677" s="113"/>
    </row>
    <row r="678" spans="2:5" ht="12.75" x14ac:dyDescent="0.2">
      <c r="B678" s="19"/>
      <c r="D678" s="19"/>
      <c r="E678" s="113"/>
    </row>
    <row r="679" spans="2:5" ht="12.75" x14ac:dyDescent="0.2">
      <c r="B679" s="19"/>
      <c r="D679" s="19"/>
      <c r="E679" s="113"/>
    </row>
    <row r="680" spans="2:5" ht="12.75" x14ac:dyDescent="0.2">
      <c r="B680" s="19"/>
      <c r="D680" s="19"/>
      <c r="E680" s="113"/>
    </row>
    <row r="681" spans="2:5" ht="12.75" x14ac:dyDescent="0.2">
      <c r="B681" s="19"/>
      <c r="D681" s="19"/>
      <c r="E681" s="113"/>
    </row>
    <row r="682" spans="2:5" ht="12.75" x14ac:dyDescent="0.2">
      <c r="B682" s="19"/>
      <c r="D682" s="19"/>
      <c r="E682" s="113"/>
    </row>
    <row r="683" spans="2:5" ht="12.75" x14ac:dyDescent="0.2">
      <c r="B683" s="19"/>
      <c r="D683" s="19"/>
      <c r="E683" s="113"/>
    </row>
    <row r="684" spans="2:5" ht="12.75" x14ac:dyDescent="0.2">
      <c r="B684" s="19"/>
      <c r="D684" s="19"/>
      <c r="E684" s="113"/>
    </row>
    <row r="685" spans="2:5" ht="12.75" x14ac:dyDescent="0.2">
      <c r="B685" s="19"/>
      <c r="D685" s="19"/>
      <c r="E685" s="113"/>
    </row>
    <row r="686" spans="2:5" ht="12.75" x14ac:dyDescent="0.2">
      <c r="B686" s="19"/>
      <c r="D686" s="19"/>
      <c r="E686" s="113"/>
    </row>
    <row r="687" spans="2:5" ht="12.75" x14ac:dyDescent="0.2">
      <c r="B687" s="19"/>
      <c r="D687" s="19"/>
      <c r="E687" s="113"/>
    </row>
    <row r="688" spans="2:5" ht="12.75" x14ac:dyDescent="0.2">
      <c r="B688" s="19"/>
      <c r="D688" s="19"/>
      <c r="E688" s="113"/>
    </row>
    <row r="689" spans="2:5" ht="12.75" x14ac:dyDescent="0.2">
      <c r="B689" s="19"/>
      <c r="D689" s="19"/>
      <c r="E689" s="113"/>
    </row>
    <row r="690" spans="2:5" ht="12.75" x14ac:dyDescent="0.2">
      <c r="B690" s="19"/>
      <c r="D690" s="19"/>
      <c r="E690" s="113"/>
    </row>
    <row r="691" spans="2:5" ht="12.75" x14ac:dyDescent="0.2">
      <c r="B691" s="19"/>
      <c r="D691" s="19"/>
      <c r="E691" s="113"/>
    </row>
    <row r="692" spans="2:5" ht="12.75" x14ac:dyDescent="0.2">
      <c r="B692" s="19"/>
      <c r="D692" s="19"/>
      <c r="E692" s="113"/>
    </row>
    <row r="693" spans="2:5" ht="12.75" x14ac:dyDescent="0.2">
      <c r="B693" s="19"/>
      <c r="D693" s="19"/>
      <c r="E693" s="113"/>
    </row>
    <row r="694" spans="2:5" ht="12.75" x14ac:dyDescent="0.2">
      <c r="B694" s="19"/>
      <c r="D694" s="19"/>
      <c r="E694" s="113"/>
    </row>
    <row r="695" spans="2:5" ht="12.75" x14ac:dyDescent="0.2">
      <c r="B695" s="19"/>
      <c r="D695" s="19"/>
      <c r="E695" s="113"/>
    </row>
    <row r="696" spans="2:5" ht="12.75" x14ac:dyDescent="0.2">
      <c r="B696" s="19"/>
      <c r="D696" s="19"/>
      <c r="E696" s="113"/>
    </row>
    <row r="697" spans="2:5" ht="12.75" x14ac:dyDescent="0.2">
      <c r="B697" s="19"/>
      <c r="D697" s="19"/>
      <c r="E697" s="113"/>
    </row>
    <row r="698" spans="2:5" ht="12.75" x14ac:dyDescent="0.2">
      <c r="B698" s="19"/>
      <c r="D698" s="19"/>
      <c r="E698" s="113"/>
    </row>
    <row r="699" spans="2:5" ht="12.75" x14ac:dyDescent="0.2">
      <c r="B699" s="19"/>
      <c r="D699" s="19"/>
      <c r="E699" s="113"/>
    </row>
    <row r="700" spans="2:5" ht="12.75" x14ac:dyDescent="0.2">
      <c r="B700" s="19"/>
      <c r="D700" s="19"/>
      <c r="E700" s="113"/>
    </row>
    <row r="701" spans="2:5" ht="12.75" x14ac:dyDescent="0.2">
      <c r="B701" s="19"/>
      <c r="D701" s="19"/>
      <c r="E701" s="113"/>
    </row>
    <row r="702" spans="2:5" ht="12.75" x14ac:dyDescent="0.2">
      <c r="B702" s="19"/>
      <c r="D702" s="19"/>
      <c r="E702" s="113"/>
    </row>
    <row r="703" spans="2:5" ht="12.75" x14ac:dyDescent="0.2">
      <c r="B703" s="19"/>
      <c r="D703" s="19"/>
      <c r="E703" s="113"/>
    </row>
    <row r="704" spans="2:5" ht="12.75" x14ac:dyDescent="0.2">
      <c r="B704" s="19"/>
      <c r="D704" s="19"/>
      <c r="E704" s="113"/>
    </row>
    <row r="705" spans="2:5" ht="12.75" x14ac:dyDescent="0.2">
      <c r="B705" s="19"/>
      <c r="D705" s="19"/>
      <c r="E705" s="113"/>
    </row>
    <row r="706" spans="2:5" ht="12.75" x14ac:dyDescent="0.2">
      <c r="B706" s="19"/>
      <c r="D706" s="19"/>
      <c r="E706" s="113"/>
    </row>
    <row r="707" spans="2:5" ht="12.75" x14ac:dyDescent="0.2">
      <c r="B707" s="19"/>
      <c r="D707" s="19"/>
      <c r="E707" s="113"/>
    </row>
    <row r="708" spans="2:5" ht="12.75" x14ac:dyDescent="0.2">
      <c r="B708" s="19"/>
      <c r="D708" s="19"/>
      <c r="E708" s="113"/>
    </row>
    <row r="709" spans="2:5" ht="12.75" x14ac:dyDescent="0.2">
      <c r="B709" s="19"/>
      <c r="D709" s="19"/>
      <c r="E709" s="113"/>
    </row>
    <row r="710" spans="2:5" ht="12.75" x14ac:dyDescent="0.2">
      <c r="B710" s="19"/>
      <c r="D710" s="19"/>
      <c r="E710" s="113"/>
    </row>
    <row r="711" spans="2:5" ht="12.75" x14ac:dyDescent="0.2">
      <c r="B711" s="19"/>
      <c r="D711" s="19"/>
      <c r="E711" s="113"/>
    </row>
    <row r="712" spans="2:5" ht="12.75" x14ac:dyDescent="0.2">
      <c r="B712" s="19"/>
      <c r="D712" s="19"/>
      <c r="E712" s="113"/>
    </row>
    <row r="713" spans="2:5" ht="12.75" x14ac:dyDescent="0.2">
      <c r="B713" s="19"/>
      <c r="D713" s="19"/>
      <c r="E713" s="113"/>
    </row>
    <row r="714" spans="2:5" ht="12.75" x14ac:dyDescent="0.2">
      <c r="B714" s="19"/>
      <c r="D714" s="19"/>
      <c r="E714" s="113"/>
    </row>
    <row r="715" spans="2:5" ht="12.75" x14ac:dyDescent="0.2">
      <c r="B715" s="19"/>
      <c r="D715" s="19"/>
      <c r="E715" s="113"/>
    </row>
    <row r="716" spans="2:5" ht="12.75" x14ac:dyDescent="0.2">
      <c r="B716" s="19"/>
      <c r="D716" s="19"/>
      <c r="E716" s="113"/>
    </row>
    <row r="717" spans="2:5" ht="12.75" x14ac:dyDescent="0.2">
      <c r="B717" s="19"/>
      <c r="D717" s="19"/>
      <c r="E717" s="113"/>
    </row>
    <row r="718" spans="2:5" ht="12.75" x14ac:dyDescent="0.2">
      <c r="B718" s="19"/>
      <c r="D718" s="19"/>
      <c r="E718" s="113"/>
    </row>
    <row r="719" spans="2:5" ht="12.75" x14ac:dyDescent="0.2">
      <c r="B719" s="19"/>
      <c r="D719" s="19"/>
      <c r="E719" s="113"/>
    </row>
    <row r="720" spans="2:5" ht="12.75" x14ac:dyDescent="0.2">
      <c r="B720" s="19"/>
      <c r="D720" s="19"/>
      <c r="E720" s="113"/>
    </row>
    <row r="721" spans="2:5" ht="12.75" x14ac:dyDescent="0.2">
      <c r="B721" s="19"/>
      <c r="D721" s="19"/>
      <c r="E721" s="113"/>
    </row>
    <row r="722" spans="2:5" ht="12.75" x14ac:dyDescent="0.2">
      <c r="B722" s="19"/>
      <c r="D722" s="19"/>
      <c r="E722" s="113"/>
    </row>
    <row r="723" spans="2:5" ht="12.75" x14ac:dyDescent="0.2">
      <c r="B723" s="19"/>
      <c r="D723" s="19"/>
      <c r="E723" s="113"/>
    </row>
    <row r="724" spans="2:5" ht="12.75" x14ac:dyDescent="0.2">
      <c r="B724" s="19"/>
      <c r="D724" s="19"/>
      <c r="E724" s="113"/>
    </row>
    <row r="725" spans="2:5" ht="12.75" x14ac:dyDescent="0.2">
      <c r="B725" s="19"/>
      <c r="D725" s="19"/>
      <c r="E725" s="113"/>
    </row>
    <row r="726" spans="2:5" ht="12.75" x14ac:dyDescent="0.2">
      <c r="B726" s="19"/>
      <c r="D726" s="19"/>
      <c r="E726" s="113"/>
    </row>
    <row r="727" spans="2:5" ht="12.75" x14ac:dyDescent="0.2">
      <c r="B727" s="19"/>
      <c r="D727" s="19"/>
      <c r="E727" s="113"/>
    </row>
    <row r="728" spans="2:5" ht="12.75" x14ac:dyDescent="0.2">
      <c r="B728" s="19"/>
      <c r="D728" s="19"/>
      <c r="E728" s="113"/>
    </row>
    <row r="729" spans="2:5" ht="12.75" x14ac:dyDescent="0.2">
      <c r="B729" s="19"/>
      <c r="D729" s="19"/>
      <c r="E729" s="113"/>
    </row>
    <row r="730" spans="2:5" ht="12.75" x14ac:dyDescent="0.2">
      <c r="B730" s="19"/>
      <c r="D730" s="19"/>
      <c r="E730" s="113"/>
    </row>
    <row r="731" spans="2:5" ht="12.75" x14ac:dyDescent="0.2">
      <c r="B731" s="19"/>
      <c r="D731" s="19"/>
      <c r="E731" s="113"/>
    </row>
    <row r="732" spans="2:5" ht="12.75" x14ac:dyDescent="0.2">
      <c r="B732" s="19"/>
      <c r="D732" s="19"/>
      <c r="E732" s="113"/>
    </row>
    <row r="733" spans="2:5" ht="12.75" x14ac:dyDescent="0.2">
      <c r="B733" s="19"/>
      <c r="D733" s="19"/>
      <c r="E733" s="113"/>
    </row>
    <row r="734" spans="2:5" ht="12.75" x14ac:dyDescent="0.2">
      <c r="B734" s="19"/>
      <c r="D734" s="19"/>
      <c r="E734" s="113"/>
    </row>
    <row r="735" spans="2:5" ht="12.75" x14ac:dyDescent="0.2">
      <c r="B735" s="19"/>
      <c r="D735" s="19"/>
      <c r="E735" s="113"/>
    </row>
    <row r="736" spans="2:5" ht="12.75" x14ac:dyDescent="0.2">
      <c r="B736" s="19"/>
      <c r="D736" s="19"/>
      <c r="E736" s="113"/>
    </row>
    <row r="737" spans="2:5" ht="12.75" x14ac:dyDescent="0.2">
      <c r="B737" s="19"/>
      <c r="D737" s="19"/>
      <c r="E737" s="113"/>
    </row>
    <row r="738" spans="2:5" ht="12.75" x14ac:dyDescent="0.2">
      <c r="B738" s="19"/>
      <c r="D738" s="19"/>
      <c r="E738" s="113"/>
    </row>
    <row r="739" spans="2:5" ht="12.75" x14ac:dyDescent="0.2">
      <c r="B739" s="19"/>
      <c r="D739" s="19"/>
      <c r="E739" s="113"/>
    </row>
    <row r="740" spans="2:5" ht="12.75" x14ac:dyDescent="0.2">
      <c r="B740" s="19"/>
      <c r="D740" s="19"/>
      <c r="E740" s="113"/>
    </row>
    <row r="741" spans="2:5" ht="12.75" x14ac:dyDescent="0.2">
      <c r="B741" s="19"/>
      <c r="D741" s="19"/>
      <c r="E741" s="113"/>
    </row>
    <row r="742" spans="2:5" ht="12.75" x14ac:dyDescent="0.2">
      <c r="B742" s="19"/>
      <c r="D742" s="19"/>
      <c r="E742" s="113"/>
    </row>
    <row r="743" spans="2:5" ht="12.75" x14ac:dyDescent="0.2">
      <c r="B743" s="19"/>
      <c r="D743" s="19"/>
      <c r="E743" s="113"/>
    </row>
    <row r="744" spans="2:5" ht="12.75" x14ac:dyDescent="0.2">
      <c r="B744" s="19"/>
      <c r="D744" s="19"/>
      <c r="E744" s="113"/>
    </row>
    <row r="745" spans="2:5" ht="12.75" x14ac:dyDescent="0.2">
      <c r="B745" s="19"/>
      <c r="D745" s="19"/>
      <c r="E745" s="113"/>
    </row>
    <row r="746" spans="2:5" ht="12.75" x14ac:dyDescent="0.2">
      <c r="B746" s="19"/>
      <c r="D746" s="19"/>
      <c r="E746" s="113"/>
    </row>
    <row r="747" spans="2:5" ht="12.75" x14ac:dyDescent="0.2">
      <c r="B747" s="19"/>
      <c r="D747" s="19"/>
      <c r="E747" s="113"/>
    </row>
    <row r="748" spans="2:5" ht="12.75" x14ac:dyDescent="0.2">
      <c r="B748" s="19"/>
      <c r="D748" s="19"/>
      <c r="E748" s="113"/>
    </row>
    <row r="749" spans="2:5" ht="12.75" x14ac:dyDescent="0.2">
      <c r="B749" s="19"/>
      <c r="D749" s="19"/>
      <c r="E749" s="113"/>
    </row>
    <row r="750" spans="2:5" ht="12.75" x14ac:dyDescent="0.2">
      <c r="B750" s="19"/>
      <c r="D750" s="19"/>
      <c r="E750" s="113"/>
    </row>
    <row r="751" spans="2:5" ht="12.75" x14ac:dyDescent="0.2">
      <c r="B751" s="19"/>
      <c r="D751" s="19"/>
      <c r="E751" s="113"/>
    </row>
    <row r="752" spans="2:5" ht="12.75" x14ac:dyDescent="0.2">
      <c r="B752" s="19"/>
      <c r="D752" s="19"/>
      <c r="E752" s="113"/>
    </row>
    <row r="753" spans="2:5" ht="12.75" x14ac:dyDescent="0.2">
      <c r="B753" s="19"/>
      <c r="D753" s="19"/>
      <c r="E753" s="113"/>
    </row>
    <row r="754" spans="2:5" ht="12.75" x14ac:dyDescent="0.2">
      <c r="B754" s="19"/>
      <c r="D754" s="19"/>
      <c r="E754" s="113"/>
    </row>
    <row r="755" spans="2:5" ht="12.75" x14ac:dyDescent="0.2">
      <c r="B755" s="19"/>
      <c r="D755" s="19"/>
      <c r="E755" s="113"/>
    </row>
    <row r="756" spans="2:5" ht="12.75" x14ac:dyDescent="0.2">
      <c r="B756" s="19"/>
      <c r="D756" s="19"/>
      <c r="E756" s="113"/>
    </row>
    <row r="757" spans="2:5" ht="12.75" x14ac:dyDescent="0.2">
      <c r="B757" s="19"/>
      <c r="D757" s="19"/>
      <c r="E757" s="113"/>
    </row>
    <row r="758" spans="2:5" ht="12.75" x14ac:dyDescent="0.2">
      <c r="B758" s="19"/>
      <c r="D758" s="19"/>
      <c r="E758" s="113"/>
    </row>
    <row r="759" spans="2:5" ht="12.75" x14ac:dyDescent="0.2">
      <c r="B759" s="19"/>
      <c r="D759" s="19"/>
      <c r="E759" s="113"/>
    </row>
    <row r="760" spans="2:5" ht="12.75" x14ac:dyDescent="0.2">
      <c r="B760" s="19"/>
      <c r="D760" s="19"/>
      <c r="E760" s="113"/>
    </row>
    <row r="761" spans="2:5" ht="12.75" x14ac:dyDescent="0.2">
      <c r="B761" s="19"/>
      <c r="D761" s="19"/>
      <c r="E761" s="113"/>
    </row>
    <row r="762" spans="2:5" ht="12.75" x14ac:dyDescent="0.2">
      <c r="B762" s="19"/>
      <c r="D762" s="19"/>
      <c r="E762" s="113"/>
    </row>
    <row r="763" spans="2:5" ht="12.75" x14ac:dyDescent="0.2">
      <c r="B763" s="19"/>
      <c r="D763" s="19"/>
      <c r="E763" s="113"/>
    </row>
    <row r="764" spans="2:5" ht="12.75" x14ac:dyDescent="0.2">
      <c r="B764" s="19"/>
      <c r="D764" s="19"/>
      <c r="E764" s="113"/>
    </row>
    <row r="765" spans="2:5" ht="12.75" x14ac:dyDescent="0.2">
      <c r="B765" s="19"/>
      <c r="D765" s="19"/>
      <c r="E765" s="113"/>
    </row>
    <row r="766" spans="2:5" ht="12.75" x14ac:dyDescent="0.2">
      <c r="B766" s="19"/>
      <c r="D766" s="19"/>
      <c r="E766" s="113"/>
    </row>
    <row r="767" spans="2:5" ht="12.75" x14ac:dyDescent="0.2">
      <c r="B767" s="19"/>
      <c r="D767" s="19"/>
      <c r="E767" s="113"/>
    </row>
    <row r="768" spans="2:5" ht="12.75" x14ac:dyDescent="0.2">
      <c r="B768" s="19"/>
      <c r="D768" s="19"/>
      <c r="E768" s="113"/>
    </row>
    <row r="769" spans="2:5" ht="12.75" x14ac:dyDescent="0.2">
      <c r="B769" s="19"/>
      <c r="D769" s="19"/>
      <c r="E769" s="113"/>
    </row>
    <row r="770" spans="2:5" ht="12.75" x14ac:dyDescent="0.2">
      <c r="B770" s="19"/>
      <c r="D770" s="19"/>
      <c r="E770" s="113"/>
    </row>
    <row r="771" spans="2:5" ht="12.75" x14ac:dyDescent="0.2">
      <c r="B771" s="19"/>
      <c r="D771" s="19"/>
      <c r="E771" s="113"/>
    </row>
    <row r="772" spans="2:5" ht="12.75" x14ac:dyDescent="0.2">
      <c r="B772" s="19"/>
      <c r="D772" s="19"/>
      <c r="E772" s="113"/>
    </row>
    <row r="773" spans="2:5" ht="12.75" x14ac:dyDescent="0.2">
      <c r="B773" s="19"/>
      <c r="D773" s="19"/>
      <c r="E773" s="113"/>
    </row>
    <row r="774" spans="2:5" ht="12.75" x14ac:dyDescent="0.2">
      <c r="B774" s="19"/>
      <c r="D774" s="19"/>
      <c r="E774" s="113"/>
    </row>
    <row r="775" spans="2:5" ht="12.75" x14ac:dyDescent="0.2">
      <c r="B775" s="19"/>
      <c r="D775" s="19"/>
      <c r="E775" s="113"/>
    </row>
    <row r="776" spans="2:5" ht="12.75" x14ac:dyDescent="0.2">
      <c r="B776" s="19"/>
      <c r="D776" s="19"/>
      <c r="E776" s="113"/>
    </row>
    <row r="777" spans="2:5" ht="12.75" x14ac:dyDescent="0.2">
      <c r="B777" s="19"/>
      <c r="D777" s="19"/>
      <c r="E777" s="113"/>
    </row>
    <row r="778" spans="2:5" ht="12.75" x14ac:dyDescent="0.2">
      <c r="B778" s="19"/>
      <c r="D778" s="19"/>
      <c r="E778" s="113"/>
    </row>
    <row r="779" spans="2:5" ht="12.75" x14ac:dyDescent="0.2">
      <c r="B779" s="19"/>
      <c r="D779" s="19"/>
      <c r="E779" s="113"/>
    </row>
    <row r="780" spans="2:5" ht="12.75" x14ac:dyDescent="0.2">
      <c r="B780" s="19"/>
      <c r="D780" s="19"/>
      <c r="E780" s="113"/>
    </row>
    <row r="781" spans="2:5" ht="12.75" x14ac:dyDescent="0.2">
      <c r="B781" s="19"/>
      <c r="D781" s="19"/>
      <c r="E781" s="113"/>
    </row>
    <row r="782" spans="2:5" ht="12.75" x14ac:dyDescent="0.2">
      <c r="B782" s="19"/>
      <c r="D782" s="19"/>
      <c r="E782" s="113"/>
    </row>
    <row r="783" spans="2:5" ht="12.75" x14ac:dyDescent="0.2">
      <c r="B783" s="19"/>
      <c r="D783" s="19"/>
      <c r="E783" s="113"/>
    </row>
    <row r="784" spans="2:5" ht="12.75" x14ac:dyDescent="0.2">
      <c r="B784" s="19"/>
      <c r="D784" s="19"/>
      <c r="E784" s="113"/>
    </row>
    <row r="785" spans="2:5" ht="12.75" x14ac:dyDescent="0.2">
      <c r="B785" s="19"/>
      <c r="D785" s="19"/>
      <c r="E785" s="113"/>
    </row>
    <row r="786" spans="2:5" ht="12.75" x14ac:dyDescent="0.2">
      <c r="B786" s="19"/>
      <c r="D786" s="19"/>
      <c r="E786" s="113"/>
    </row>
    <row r="787" spans="2:5" ht="12.75" x14ac:dyDescent="0.2">
      <c r="B787" s="19"/>
      <c r="D787" s="19"/>
      <c r="E787" s="113"/>
    </row>
    <row r="788" spans="2:5" ht="12.75" x14ac:dyDescent="0.2">
      <c r="B788" s="19"/>
      <c r="D788" s="19"/>
      <c r="E788" s="113"/>
    </row>
    <row r="789" spans="2:5" ht="12.75" x14ac:dyDescent="0.2">
      <c r="B789" s="19"/>
      <c r="D789" s="19"/>
      <c r="E789" s="113"/>
    </row>
    <row r="790" spans="2:5" ht="12.75" x14ac:dyDescent="0.2">
      <c r="B790" s="19"/>
      <c r="D790" s="19"/>
      <c r="E790" s="113"/>
    </row>
    <row r="791" spans="2:5" ht="12.75" x14ac:dyDescent="0.2">
      <c r="B791" s="19"/>
      <c r="D791" s="19"/>
      <c r="E791" s="113"/>
    </row>
    <row r="792" spans="2:5" ht="12.75" x14ac:dyDescent="0.2">
      <c r="B792" s="19"/>
      <c r="D792" s="19"/>
      <c r="E792" s="113"/>
    </row>
    <row r="793" spans="2:5" ht="12.75" x14ac:dyDescent="0.2">
      <c r="B793" s="19"/>
      <c r="D793" s="19"/>
      <c r="E793" s="113"/>
    </row>
    <row r="794" spans="2:5" ht="12.75" x14ac:dyDescent="0.2">
      <c r="B794" s="19"/>
      <c r="D794" s="19"/>
      <c r="E794" s="113"/>
    </row>
    <row r="795" spans="2:5" ht="12.75" x14ac:dyDescent="0.2">
      <c r="B795" s="19"/>
      <c r="D795" s="19"/>
      <c r="E795" s="113"/>
    </row>
    <row r="796" spans="2:5" ht="12.75" x14ac:dyDescent="0.2">
      <c r="B796" s="19"/>
      <c r="D796" s="19"/>
      <c r="E796" s="113"/>
    </row>
    <row r="797" spans="2:5" ht="12.75" x14ac:dyDescent="0.2">
      <c r="B797" s="19"/>
      <c r="D797" s="19"/>
      <c r="E797" s="113"/>
    </row>
    <row r="798" spans="2:5" ht="12.75" x14ac:dyDescent="0.2">
      <c r="B798" s="19"/>
      <c r="D798" s="19"/>
      <c r="E798" s="113"/>
    </row>
    <row r="799" spans="2:5" ht="12.75" x14ac:dyDescent="0.2">
      <c r="B799" s="19"/>
      <c r="D799" s="19"/>
      <c r="E799" s="113"/>
    </row>
    <row r="800" spans="2:5" ht="12.75" x14ac:dyDescent="0.2">
      <c r="B800" s="19"/>
      <c r="D800" s="19"/>
      <c r="E800" s="113"/>
    </row>
    <row r="801" spans="2:5" ht="12.75" x14ac:dyDescent="0.2">
      <c r="B801" s="19"/>
      <c r="D801" s="19"/>
      <c r="E801" s="113"/>
    </row>
    <row r="802" spans="2:5" ht="12.75" x14ac:dyDescent="0.2">
      <c r="B802" s="19"/>
      <c r="D802" s="19"/>
      <c r="E802" s="113"/>
    </row>
    <row r="803" spans="2:5" ht="12.75" x14ac:dyDescent="0.2">
      <c r="B803" s="19"/>
      <c r="D803" s="19"/>
      <c r="E803" s="113"/>
    </row>
    <row r="804" spans="2:5" ht="12.75" x14ac:dyDescent="0.2">
      <c r="B804" s="19"/>
      <c r="D804" s="19"/>
      <c r="E804" s="113"/>
    </row>
    <row r="805" spans="2:5" ht="12.75" x14ac:dyDescent="0.2">
      <c r="B805" s="19"/>
      <c r="D805" s="19"/>
      <c r="E805" s="113"/>
    </row>
    <row r="806" spans="2:5" ht="12.75" x14ac:dyDescent="0.2">
      <c r="B806" s="19"/>
      <c r="D806" s="19"/>
      <c r="E806" s="113"/>
    </row>
    <row r="807" spans="2:5" ht="12.75" x14ac:dyDescent="0.2">
      <c r="B807" s="19"/>
      <c r="D807" s="19"/>
      <c r="E807" s="113"/>
    </row>
    <row r="808" spans="2:5" ht="12.75" x14ac:dyDescent="0.2">
      <c r="B808" s="19"/>
      <c r="D808" s="19"/>
      <c r="E808" s="113"/>
    </row>
    <row r="809" spans="2:5" ht="12.75" x14ac:dyDescent="0.2">
      <c r="B809" s="19"/>
      <c r="D809" s="19"/>
      <c r="E809" s="113"/>
    </row>
    <row r="810" spans="2:5" ht="12.75" x14ac:dyDescent="0.2">
      <c r="B810" s="19"/>
      <c r="D810" s="19"/>
      <c r="E810" s="113"/>
    </row>
    <row r="811" spans="2:5" ht="12.75" x14ac:dyDescent="0.2">
      <c r="B811" s="19"/>
      <c r="D811" s="19"/>
      <c r="E811" s="113"/>
    </row>
    <row r="812" spans="2:5" ht="12.75" x14ac:dyDescent="0.2">
      <c r="B812" s="19"/>
      <c r="D812" s="19"/>
      <c r="E812" s="113"/>
    </row>
    <row r="813" spans="2:5" ht="12.75" x14ac:dyDescent="0.2">
      <c r="B813" s="19"/>
      <c r="D813" s="19"/>
      <c r="E813" s="113"/>
    </row>
    <row r="814" spans="2:5" ht="12.75" x14ac:dyDescent="0.2">
      <c r="B814" s="19"/>
      <c r="D814" s="19"/>
      <c r="E814" s="113"/>
    </row>
    <row r="815" spans="2:5" ht="12.75" x14ac:dyDescent="0.2">
      <c r="B815" s="19"/>
      <c r="D815" s="19"/>
      <c r="E815" s="113"/>
    </row>
    <row r="816" spans="2:5" ht="12.75" x14ac:dyDescent="0.2">
      <c r="B816" s="19"/>
      <c r="D816" s="19"/>
      <c r="E816" s="113"/>
    </row>
    <row r="817" spans="2:5" ht="12.75" x14ac:dyDescent="0.2">
      <c r="B817" s="19"/>
      <c r="D817" s="19"/>
      <c r="E817" s="113"/>
    </row>
    <row r="818" spans="2:5" ht="12.75" x14ac:dyDescent="0.2">
      <c r="B818" s="19"/>
      <c r="D818" s="19"/>
      <c r="E818" s="113"/>
    </row>
    <row r="819" spans="2:5" ht="12.75" x14ac:dyDescent="0.2">
      <c r="B819" s="19"/>
      <c r="D819" s="19"/>
      <c r="E819" s="113"/>
    </row>
    <row r="820" spans="2:5" ht="12.75" x14ac:dyDescent="0.2">
      <c r="B820" s="19"/>
      <c r="D820" s="19"/>
      <c r="E820" s="113"/>
    </row>
    <row r="821" spans="2:5" ht="12.75" x14ac:dyDescent="0.2">
      <c r="B821" s="19"/>
      <c r="D821" s="19"/>
      <c r="E821" s="113"/>
    </row>
    <row r="822" spans="2:5" ht="12.75" x14ac:dyDescent="0.2">
      <c r="B822" s="19"/>
      <c r="D822" s="19"/>
      <c r="E822" s="113"/>
    </row>
    <row r="823" spans="2:5" ht="12.75" x14ac:dyDescent="0.2">
      <c r="B823" s="19"/>
      <c r="D823" s="19"/>
      <c r="E823" s="113"/>
    </row>
    <row r="824" spans="2:5" ht="12.75" x14ac:dyDescent="0.2">
      <c r="B824" s="19"/>
      <c r="D824" s="19"/>
      <c r="E824" s="113"/>
    </row>
    <row r="825" spans="2:5" ht="12.75" x14ac:dyDescent="0.2">
      <c r="B825" s="19"/>
      <c r="D825" s="19"/>
      <c r="E825" s="113"/>
    </row>
    <row r="826" spans="2:5" ht="12.75" x14ac:dyDescent="0.2">
      <c r="B826" s="19"/>
      <c r="D826" s="19"/>
      <c r="E826" s="113"/>
    </row>
    <row r="827" spans="2:5" ht="12.75" x14ac:dyDescent="0.2">
      <c r="B827" s="19"/>
      <c r="D827" s="19"/>
      <c r="E827" s="113"/>
    </row>
    <row r="828" spans="2:5" ht="12.75" x14ac:dyDescent="0.2">
      <c r="B828" s="19"/>
      <c r="D828" s="19"/>
      <c r="E828" s="113"/>
    </row>
    <row r="829" spans="2:5" ht="12.75" x14ac:dyDescent="0.2">
      <c r="B829" s="19"/>
      <c r="D829" s="19"/>
      <c r="E829" s="113"/>
    </row>
    <row r="830" spans="2:5" ht="12.75" x14ac:dyDescent="0.2">
      <c r="B830" s="19"/>
      <c r="D830" s="19"/>
      <c r="E830" s="113"/>
    </row>
    <row r="831" spans="2:5" ht="12.75" x14ac:dyDescent="0.2">
      <c r="B831" s="19"/>
      <c r="D831" s="19"/>
      <c r="E831" s="113"/>
    </row>
    <row r="832" spans="2:5" ht="12.75" x14ac:dyDescent="0.2">
      <c r="B832" s="19"/>
      <c r="D832" s="19"/>
      <c r="E832" s="113"/>
    </row>
    <row r="833" spans="2:5" ht="12.75" x14ac:dyDescent="0.2">
      <c r="B833" s="19"/>
      <c r="D833" s="19"/>
      <c r="E833" s="113"/>
    </row>
    <row r="834" spans="2:5" ht="12.75" x14ac:dyDescent="0.2">
      <c r="B834" s="19"/>
      <c r="D834" s="19"/>
      <c r="E834" s="113"/>
    </row>
    <row r="835" spans="2:5" ht="12.75" x14ac:dyDescent="0.2">
      <c r="B835" s="19"/>
      <c r="D835" s="19"/>
      <c r="E835" s="113"/>
    </row>
    <row r="836" spans="2:5" ht="12.75" x14ac:dyDescent="0.2">
      <c r="B836" s="19"/>
      <c r="D836" s="19"/>
      <c r="E836" s="113"/>
    </row>
    <row r="837" spans="2:5" ht="12.75" x14ac:dyDescent="0.2">
      <c r="B837" s="19"/>
      <c r="D837" s="19"/>
      <c r="E837" s="113"/>
    </row>
    <row r="838" spans="2:5" ht="12.75" x14ac:dyDescent="0.2">
      <c r="B838" s="19"/>
      <c r="D838" s="19"/>
      <c r="E838" s="113"/>
    </row>
    <row r="839" spans="2:5" ht="12.75" x14ac:dyDescent="0.2">
      <c r="B839" s="19"/>
      <c r="D839" s="19"/>
      <c r="E839" s="113"/>
    </row>
    <row r="840" spans="2:5" ht="12.75" x14ac:dyDescent="0.2">
      <c r="B840" s="19"/>
      <c r="D840" s="19"/>
      <c r="E840" s="113"/>
    </row>
    <row r="841" spans="2:5" ht="12.75" x14ac:dyDescent="0.2">
      <c r="B841" s="19"/>
      <c r="D841" s="19"/>
      <c r="E841" s="113"/>
    </row>
    <row r="842" spans="2:5" ht="12.75" x14ac:dyDescent="0.2">
      <c r="B842" s="19"/>
      <c r="D842" s="19"/>
      <c r="E842" s="113"/>
    </row>
    <row r="843" spans="2:5" ht="12.75" x14ac:dyDescent="0.2">
      <c r="B843" s="19"/>
      <c r="D843" s="19"/>
      <c r="E843" s="113"/>
    </row>
    <row r="844" spans="2:5" ht="12.75" x14ac:dyDescent="0.2">
      <c r="B844" s="19"/>
      <c r="D844" s="19"/>
      <c r="E844" s="113"/>
    </row>
    <row r="845" spans="2:5" ht="12.75" x14ac:dyDescent="0.2">
      <c r="B845" s="19"/>
      <c r="D845" s="19"/>
      <c r="E845" s="113"/>
    </row>
    <row r="846" spans="2:5" ht="12.75" x14ac:dyDescent="0.2">
      <c r="B846" s="19"/>
      <c r="D846" s="19"/>
      <c r="E846" s="113"/>
    </row>
    <row r="847" spans="2:5" ht="12.75" x14ac:dyDescent="0.2">
      <c r="B847" s="19"/>
      <c r="D847" s="19"/>
      <c r="E847" s="113"/>
    </row>
    <row r="848" spans="2:5" ht="12.75" x14ac:dyDescent="0.2">
      <c r="B848" s="19"/>
      <c r="D848" s="19"/>
      <c r="E848" s="113"/>
    </row>
    <row r="849" spans="2:5" ht="12.75" x14ac:dyDescent="0.2">
      <c r="B849" s="19"/>
      <c r="D849" s="19"/>
      <c r="E849" s="113"/>
    </row>
    <row r="850" spans="2:5" ht="12.75" x14ac:dyDescent="0.2">
      <c r="B850" s="19"/>
      <c r="D850" s="19"/>
      <c r="E850" s="113"/>
    </row>
    <row r="851" spans="2:5" ht="12.75" x14ac:dyDescent="0.2">
      <c r="B851" s="19"/>
      <c r="D851" s="19"/>
      <c r="E851" s="113"/>
    </row>
    <row r="852" spans="2:5" ht="12.75" x14ac:dyDescent="0.2">
      <c r="B852" s="19"/>
      <c r="D852" s="19"/>
      <c r="E852" s="113"/>
    </row>
    <row r="853" spans="2:5" ht="12.75" x14ac:dyDescent="0.2">
      <c r="B853" s="19"/>
      <c r="D853" s="19"/>
      <c r="E853" s="113"/>
    </row>
    <row r="854" spans="2:5" ht="12.75" x14ac:dyDescent="0.2">
      <c r="B854" s="19"/>
      <c r="D854" s="19"/>
      <c r="E854" s="113"/>
    </row>
    <row r="855" spans="2:5" ht="12.75" x14ac:dyDescent="0.2">
      <c r="B855" s="19"/>
      <c r="D855" s="19"/>
      <c r="E855" s="113"/>
    </row>
    <row r="856" spans="2:5" ht="12.75" x14ac:dyDescent="0.2">
      <c r="B856" s="19"/>
      <c r="D856" s="19"/>
      <c r="E856" s="113"/>
    </row>
    <row r="857" spans="2:5" ht="12.75" x14ac:dyDescent="0.2">
      <c r="B857" s="19"/>
      <c r="D857" s="19"/>
      <c r="E857" s="113"/>
    </row>
    <row r="858" spans="2:5" ht="12.75" x14ac:dyDescent="0.2">
      <c r="B858" s="19"/>
      <c r="D858" s="19"/>
      <c r="E858" s="113"/>
    </row>
    <row r="859" spans="2:5" ht="12.75" x14ac:dyDescent="0.2">
      <c r="B859" s="19"/>
      <c r="D859" s="19"/>
      <c r="E859" s="113"/>
    </row>
    <row r="860" spans="2:5" ht="12.75" x14ac:dyDescent="0.2">
      <c r="B860" s="19"/>
      <c r="D860" s="19"/>
      <c r="E860" s="113"/>
    </row>
    <row r="861" spans="2:5" ht="12.75" x14ac:dyDescent="0.2">
      <c r="B861" s="19"/>
      <c r="D861" s="19"/>
      <c r="E861" s="113"/>
    </row>
    <row r="862" spans="2:5" ht="12.75" x14ac:dyDescent="0.2">
      <c r="B862" s="19"/>
      <c r="D862" s="19"/>
      <c r="E862" s="113"/>
    </row>
    <row r="863" spans="2:5" ht="12.75" x14ac:dyDescent="0.2">
      <c r="B863" s="19"/>
      <c r="D863" s="19"/>
      <c r="E863" s="113"/>
    </row>
    <row r="864" spans="2:5" ht="12.75" x14ac:dyDescent="0.2">
      <c r="B864" s="19"/>
      <c r="D864" s="19"/>
      <c r="E864" s="113"/>
    </row>
    <row r="865" spans="2:5" ht="12.75" x14ac:dyDescent="0.2">
      <c r="B865" s="19"/>
      <c r="D865" s="19"/>
      <c r="E865" s="113"/>
    </row>
    <row r="866" spans="2:5" ht="12.75" x14ac:dyDescent="0.2">
      <c r="B866" s="19"/>
      <c r="D866" s="19"/>
      <c r="E866" s="113"/>
    </row>
    <row r="867" spans="2:5" ht="12.75" x14ac:dyDescent="0.2">
      <c r="B867" s="19"/>
      <c r="D867" s="19"/>
      <c r="E867" s="113"/>
    </row>
    <row r="868" spans="2:5" ht="12.75" x14ac:dyDescent="0.2">
      <c r="B868" s="19"/>
      <c r="D868" s="19"/>
      <c r="E868" s="113"/>
    </row>
    <row r="869" spans="2:5" ht="12.75" x14ac:dyDescent="0.2">
      <c r="B869" s="19"/>
      <c r="D869" s="19"/>
      <c r="E869" s="113"/>
    </row>
    <row r="870" spans="2:5" ht="12.75" x14ac:dyDescent="0.2">
      <c r="B870" s="19"/>
      <c r="D870" s="19"/>
      <c r="E870" s="113"/>
    </row>
    <row r="871" spans="2:5" ht="12.75" x14ac:dyDescent="0.2">
      <c r="B871" s="19"/>
      <c r="D871" s="19"/>
      <c r="E871" s="113"/>
    </row>
    <row r="872" spans="2:5" ht="12.75" x14ac:dyDescent="0.2">
      <c r="B872" s="19"/>
      <c r="D872" s="19"/>
      <c r="E872" s="113"/>
    </row>
    <row r="873" spans="2:5" ht="12.75" x14ac:dyDescent="0.2">
      <c r="B873" s="19"/>
      <c r="D873" s="19"/>
      <c r="E873" s="113"/>
    </row>
    <row r="874" spans="2:5" ht="12.75" x14ac:dyDescent="0.2">
      <c r="B874" s="19"/>
      <c r="D874" s="19"/>
      <c r="E874" s="113"/>
    </row>
    <row r="875" spans="2:5" ht="12.75" x14ac:dyDescent="0.2">
      <c r="B875" s="19"/>
      <c r="D875" s="19"/>
      <c r="E875" s="113"/>
    </row>
    <row r="876" spans="2:5" ht="12.75" x14ac:dyDescent="0.2">
      <c r="B876" s="19"/>
      <c r="D876" s="19"/>
      <c r="E876" s="113"/>
    </row>
    <row r="877" spans="2:5" ht="12.75" x14ac:dyDescent="0.2">
      <c r="B877" s="19"/>
      <c r="D877" s="19"/>
      <c r="E877" s="113"/>
    </row>
    <row r="878" spans="2:5" ht="12.75" x14ac:dyDescent="0.2">
      <c r="B878" s="19"/>
      <c r="D878" s="19"/>
      <c r="E878" s="113"/>
    </row>
    <row r="879" spans="2:5" ht="12.75" x14ac:dyDescent="0.2">
      <c r="B879" s="19"/>
      <c r="D879" s="19"/>
      <c r="E879" s="113"/>
    </row>
    <row r="880" spans="2:5" ht="12.75" x14ac:dyDescent="0.2">
      <c r="B880" s="19"/>
      <c r="D880" s="19"/>
      <c r="E880" s="113"/>
    </row>
    <row r="881" spans="2:5" ht="12.75" x14ac:dyDescent="0.2">
      <c r="B881" s="19"/>
      <c r="D881" s="19"/>
      <c r="E881" s="113"/>
    </row>
    <row r="882" spans="2:5" ht="12.75" x14ac:dyDescent="0.2">
      <c r="B882" s="19"/>
      <c r="D882" s="19"/>
      <c r="E882" s="113"/>
    </row>
    <row r="883" spans="2:5" ht="12.75" x14ac:dyDescent="0.2">
      <c r="B883" s="19"/>
      <c r="D883" s="19"/>
      <c r="E883" s="113"/>
    </row>
    <row r="884" spans="2:5" ht="12.75" x14ac:dyDescent="0.2">
      <c r="B884" s="19"/>
      <c r="D884" s="19"/>
      <c r="E884" s="113"/>
    </row>
    <row r="885" spans="2:5" ht="12.75" x14ac:dyDescent="0.2">
      <c r="B885" s="19"/>
      <c r="D885" s="19"/>
      <c r="E885" s="113"/>
    </row>
    <row r="886" spans="2:5" ht="12.75" x14ac:dyDescent="0.2">
      <c r="B886" s="19"/>
      <c r="D886" s="19"/>
      <c r="E886" s="113"/>
    </row>
    <row r="887" spans="2:5" ht="12.75" x14ac:dyDescent="0.2">
      <c r="B887" s="19"/>
      <c r="D887" s="19"/>
      <c r="E887" s="113"/>
    </row>
    <row r="888" spans="2:5" ht="12.75" x14ac:dyDescent="0.2">
      <c r="B888" s="19"/>
      <c r="D888" s="19"/>
      <c r="E888" s="113"/>
    </row>
    <row r="889" spans="2:5" ht="12.75" x14ac:dyDescent="0.2">
      <c r="B889" s="19"/>
      <c r="D889" s="19"/>
      <c r="E889" s="113"/>
    </row>
    <row r="890" spans="2:5" ht="12.75" x14ac:dyDescent="0.2">
      <c r="B890" s="19"/>
      <c r="D890" s="19"/>
      <c r="E890" s="113"/>
    </row>
    <row r="891" spans="2:5" ht="12.75" x14ac:dyDescent="0.2">
      <c r="B891" s="19"/>
      <c r="D891" s="19"/>
      <c r="E891" s="113"/>
    </row>
    <row r="892" spans="2:5" ht="12.75" x14ac:dyDescent="0.2">
      <c r="B892" s="19"/>
      <c r="D892" s="19"/>
      <c r="E892" s="113"/>
    </row>
    <row r="893" spans="2:5" ht="12.75" x14ac:dyDescent="0.2">
      <c r="B893" s="19"/>
      <c r="D893" s="19"/>
      <c r="E893" s="113"/>
    </row>
    <row r="894" spans="2:5" ht="12.75" x14ac:dyDescent="0.2">
      <c r="B894" s="19"/>
      <c r="D894" s="19"/>
      <c r="E894" s="113"/>
    </row>
    <row r="895" spans="2:5" ht="12.75" x14ac:dyDescent="0.2">
      <c r="B895" s="19"/>
      <c r="D895" s="19"/>
      <c r="E895" s="113"/>
    </row>
    <row r="896" spans="2:5" ht="12.75" x14ac:dyDescent="0.2">
      <c r="B896" s="19"/>
      <c r="D896" s="19"/>
      <c r="E896" s="113"/>
    </row>
    <row r="897" spans="2:5" ht="12.75" x14ac:dyDescent="0.2">
      <c r="B897" s="19"/>
      <c r="D897" s="19"/>
      <c r="E897" s="113"/>
    </row>
    <row r="898" spans="2:5" ht="12.75" x14ac:dyDescent="0.2">
      <c r="B898" s="19"/>
      <c r="D898" s="19"/>
      <c r="E898" s="113"/>
    </row>
    <row r="899" spans="2:5" ht="12.75" x14ac:dyDescent="0.2">
      <c r="B899" s="19"/>
      <c r="D899" s="19"/>
      <c r="E899" s="113"/>
    </row>
    <row r="900" spans="2:5" ht="12.75" x14ac:dyDescent="0.2">
      <c r="B900" s="19"/>
      <c r="D900" s="19"/>
      <c r="E900" s="113"/>
    </row>
    <row r="901" spans="2:5" ht="12.75" x14ac:dyDescent="0.2">
      <c r="B901" s="19"/>
      <c r="D901" s="19"/>
      <c r="E901" s="113"/>
    </row>
    <row r="902" spans="2:5" ht="12.75" x14ac:dyDescent="0.2">
      <c r="B902" s="19"/>
      <c r="D902" s="19"/>
      <c r="E902" s="113"/>
    </row>
    <row r="903" spans="2:5" ht="12.75" x14ac:dyDescent="0.2">
      <c r="B903" s="19"/>
      <c r="D903" s="19"/>
      <c r="E903" s="113"/>
    </row>
    <row r="904" spans="2:5" ht="12.75" x14ac:dyDescent="0.2">
      <c r="B904" s="19"/>
      <c r="D904" s="19"/>
      <c r="E904" s="113"/>
    </row>
    <row r="905" spans="2:5" ht="12.75" x14ac:dyDescent="0.2">
      <c r="B905" s="19"/>
      <c r="D905" s="19"/>
      <c r="E905" s="113"/>
    </row>
    <row r="906" spans="2:5" ht="12.75" x14ac:dyDescent="0.2">
      <c r="B906" s="19"/>
      <c r="D906" s="19"/>
      <c r="E906" s="113"/>
    </row>
    <row r="907" spans="2:5" ht="12.75" x14ac:dyDescent="0.2">
      <c r="B907" s="19"/>
      <c r="D907" s="19"/>
      <c r="E907" s="113"/>
    </row>
    <row r="908" spans="2:5" ht="12.75" x14ac:dyDescent="0.2">
      <c r="B908" s="19"/>
      <c r="D908" s="19"/>
      <c r="E908" s="113"/>
    </row>
    <row r="909" spans="2:5" ht="12.75" x14ac:dyDescent="0.2">
      <c r="B909" s="19"/>
      <c r="D909" s="19"/>
      <c r="E909" s="113"/>
    </row>
    <row r="910" spans="2:5" ht="12.75" x14ac:dyDescent="0.2">
      <c r="B910" s="19"/>
      <c r="D910" s="19"/>
      <c r="E910" s="113"/>
    </row>
    <row r="911" spans="2:5" ht="12.75" x14ac:dyDescent="0.2">
      <c r="B911" s="19"/>
      <c r="D911" s="19"/>
      <c r="E911" s="113"/>
    </row>
    <row r="912" spans="2:5" ht="12.75" x14ac:dyDescent="0.2">
      <c r="B912" s="19"/>
      <c r="D912" s="19"/>
      <c r="E912" s="113"/>
    </row>
    <row r="913" spans="2:5" ht="12.75" x14ac:dyDescent="0.2">
      <c r="B913" s="19"/>
      <c r="D913" s="19"/>
      <c r="E913" s="113"/>
    </row>
    <row r="914" spans="2:5" ht="12.75" x14ac:dyDescent="0.2">
      <c r="B914" s="19"/>
      <c r="D914" s="19"/>
      <c r="E914" s="113"/>
    </row>
    <row r="915" spans="2:5" ht="12.75" x14ac:dyDescent="0.2">
      <c r="B915" s="19"/>
      <c r="D915" s="19"/>
      <c r="E915" s="113"/>
    </row>
    <row r="916" spans="2:5" ht="12.75" x14ac:dyDescent="0.2">
      <c r="B916" s="19"/>
      <c r="D916" s="19"/>
      <c r="E916" s="113"/>
    </row>
    <row r="917" spans="2:5" ht="12.75" x14ac:dyDescent="0.2">
      <c r="B917" s="19"/>
      <c r="D917" s="19"/>
      <c r="E917" s="113"/>
    </row>
    <row r="918" spans="2:5" ht="12.75" x14ac:dyDescent="0.2">
      <c r="B918" s="19"/>
      <c r="D918" s="19"/>
      <c r="E918" s="113"/>
    </row>
    <row r="919" spans="2:5" ht="12.75" x14ac:dyDescent="0.2">
      <c r="B919" s="19"/>
      <c r="D919" s="19"/>
      <c r="E919" s="113"/>
    </row>
    <row r="920" spans="2:5" ht="12.75" x14ac:dyDescent="0.2">
      <c r="B920" s="19"/>
      <c r="D920" s="19"/>
      <c r="E920" s="113"/>
    </row>
    <row r="921" spans="2:5" ht="12.75" x14ac:dyDescent="0.2">
      <c r="B921" s="19"/>
      <c r="D921" s="19"/>
      <c r="E921" s="113"/>
    </row>
    <row r="922" spans="2:5" ht="12.75" x14ac:dyDescent="0.2">
      <c r="B922" s="19"/>
      <c r="D922" s="19"/>
      <c r="E922" s="113"/>
    </row>
    <row r="923" spans="2:5" ht="12.75" x14ac:dyDescent="0.2">
      <c r="B923" s="19"/>
      <c r="D923" s="19"/>
      <c r="E923" s="113"/>
    </row>
    <row r="924" spans="2:5" ht="12.75" x14ac:dyDescent="0.2">
      <c r="B924" s="19"/>
      <c r="D924" s="19"/>
      <c r="E924" s="113"/>
    </row>
    <row r="925" spans="2:5" ht="12.75" x14ac:dyDescent="0.2">
      <c r="B925" s="19"/>
      <c r="D925" s="19"/>
      <c r="E925" s="113"/>
    </row>
    <row r="926" spans="2:5" ht="12.75" x14ac:dyDescent="0.2">
      <c r="B926" s="19"/>
      <c r="D926" s="19"/>
      <c r="E926" s="113"/>
    </row>
    <row r="927" spans="2:5" ht="12.75" x14ac:dyDescent="0.2">
      <c r="B927" s="19"/>
      <c r="D927" s="19"/>
      <c r="E927" s="113"/>
    </row>
    <row r="928" spans="2:5" ht="12.75" x14ac:dyDescent="0.2">
      <c r="B928" s="19"/>
      <c r="D928" s="19"/>
      <c r="E928" s="113"/>
    </row>
    <row r="929" spans="2:5" ht="12.75" x14ac:dyDescent="0.2">
      <c r="B929" s="19"/>
      <c r="D929" s="19"/>
      <c r="E929" s="113"/>
    </row>
    <row r="930" spans="2:5" ht="12.75" x14ac:dyDescent="0.2">
      <c r="B930" s="19"/>
      <c r="D930" s="19"/>
      <c r="E930" s="113"/>
    </row>
    <row r="931" spans="2:5" ht="12.75" x14ac:dyDescent="0.2">
      <c r="B931" s="19"/>
      <c r="D931" s="19"/>
      <c r="E931" s="113"/>
    </row>
    <row r="932" spans="2:5" ht="12.75" x14ac:dyDescent="0.2">
      <c r="B932" s="19"/>
      <c r="D932" s="19"/>
      <c r="E932" s="113"/>
    </row>
    <row r="933" spans="2:5" ht="12.75" x14ac:dyDescent="0.2">
      <c r="B933" s="19"/>
      <c r="D933" s="19"/>
      <c r="E933" s="113"/>
    </row>
    <row r="934" spans="2:5" ht="12.75" x14ac:dyDescent="0.2">
      <c r="B934" s="19"/>
      <c r="D934" s="19"/>
      <c r="E934" s="113"/>
    </row>
    <row r="935" spans="2:5" ht="12.75" x14ac:dyDescent="0.2">
      <c r="B935" s="19"/>
      <c r="D935" s="19"/>
      <c r="E935" s="113"/>
    </row>
    <row r="936" spans="2:5" ht="12.75" x14ac:dyDescent="0.2">
      <c r="B936" s="19"/>
      <c r="D936" s="19"/>
      <c r="E936" s="113"/>
    </row>
    <row r="937" spans="2:5" ht="12.75" x14ac:dyDescent="0.2">
      <c r="B937" s="19"/>
      <c r="D937" s="19"/>
      <c r="E937" s="113"/>
    </row>
    <row r="938" spans="2:5" ht="12.75" x14ac:dyDescent="0.2">
      <c r="B938" s="19"/>
      <c r="D938" s="19"/>
      <c r="E938" s="113"/>
    </row>
    <row r="939" spans="2:5" ht="12.75" x14ac:dyDescent="0.2">
      <c r="B939" s="19"/>
      <c r="D939" s="19"/>
      <c r="E939" s="113"/>
    </row>
    <row r="940" spans="2:5" ht="12.75" x14ac:dyDescent="0.2">
      <c r="B940" s="19"/>
      <c r="D940" s="19"/>
      <c r="E940" s="113"/>
    </row>
    <row r="941" spans="2:5" ht="12.75" x14ac:dyDescent="0.2">
      <c r="B941" s="19"/>
      <c r="D941" s="19"/>
      <c r="E941" s="113"/>
    </row>
    <row r="942" spans="2:5" ht="12.75" x14ac:dyDescent="0.2">
      <c r="B942" s="19"/>
      <c r="D942" s="19"/>
      <c r="E942" s="113"/>
    </row>
    <row r="943" spans="2:5" ht="12.75" x14ac:dyDescent="0.2">
      <c r="B943" s="19"/>
      <c r="D943" s="19"/>
      <c r="E943" s="113"/>
    </row>
    <row r="944" spans="2:5" ht="12.75" x14ac:dyDescent="0.2">
      <c r="B944" s="19"/>
      <c r="D944" s="19"/>
      <c r="E944" s="113"/>
    </row>
    <row r="945" spans="2:5" ht="12.75" x14ac:dyDescent="0.2">
      <c r="B945" s="19"/>
      <c r="D945" s="19"/>
      <c r="E945" s="113"/>
    </row>
    <row r="946" spans="2:5" ht="12.75" x14ac:dyDescent="0.2">
      <c r="B946" s="19"/>
      <c r="D946" s="19"/>
      <c r="E946" s="113"/>
    </row>
    <row r="947" spans="2:5" ht="12.75" x14ac:dyDescent="0.2">
      <c r="B947" s="19"/>
      <c r="D947" s="19"/>
      <c r="E947" s="113"/>
    </row>
    <row r="948" spans="2:5" ht="12.75" x14ac:dyDescent="0.2">
      <c r="B948" s="19"/>
      <c r="D948" s="19"/>
      <c r="E948" s="113"/>
    </row>
    <row r="949" spans="2:5" ht="12.75" x14ac:dyDescent="0.2">
      <c r="B949" s="19"/>
      <c r="D949" s="19"/>
      <c r="E949" s="113"/>
    </row>
    <row r="950" spans="2:5" ht="12.75" x14ac:dyDescent="0.2">
      <c r="B950" s="19"/>
      <c r="D950" s="19"/>
      <c r="E950" s="113"/>
    </row>
    <row r="951" spans="2:5" ht="12.75" x14ac:dyDescent="0.2">
      <c r="B951" s="19"/>
      <c r="D951" s="19"/>
      <c r="E951" s="113"/>
    </row>
    <row r="952" spans="2:5" ht="12.75" x14ac:dyDescent="0.2">
      <c r="B952" s="19"/>
      <c r="D952" s="19"/>
      <c r="E952" s="113"/>
    </row>
    <row r="953" spans="2:5" ht="12.75" x14ac:dyDescent="0.2">
      <c r="B953" s="19"/>
      <c r="D953" s="19"/>
      <c r="E953" s="113"/>
    </row>
    <row r="954" spans="2:5" ht="12.75" x14ac:dyDescent="0.2">
      <c r="B954" s="19"/>
      <c r="D954" s="19"/>
      <c r="E954" s="113"/>
    </row>
    <row r="955" spans="2:5" ht="12.75" x14ac:dyDescent="0.2">
      <c r="B955" s="19"/>
      <c r="D955" s="19"/>
      <c r="E955" s="113"/>
    </row>
    <row r="956" spans="2:5" ht="12.75" x14ac:dyDescent="0.2">
      <c r="B956" s="19"/>
      <c r="D956" s="19"/>
      <c r="E956" s="113"/>
    </row>
    <row r="957" spans="2:5" ht="12.75" x14ac:dyDescent="0.2">
      <c r="B957" s="19"/>
      <c r="D957" s="19"/>
      <c r="E957" s="113"/>
    </row>
    <row r="958" spans="2:5" ht="12.75" x14ac:dyDescent="0.2">
      <c r="B958" s="19"/>
      <c r="D958" s="19"/>
      <c r="E958" s="113"/>
    </row>
    <row r="959" spans="2:5" ht="12.75" x14ac:dyDescent="0.2">
      <c r="B959" s="19"/>
      <c r="D959" s="19"/>
      <c r="E959" s="113"/>
    </row>
    <row r="960" spans="2:5" ht="12.75" x14ac:dyDescent="0.2">
      <c r="B960" s="19"/>
      <c r="D960" s="19"/>
      <c r="E960" s="113"/>
    </row>
    <row r="961" spans="2:5" ht="12.75" x14ac:dyDescent="0.2">
      <c r="B961" s="19"/>
      <c r="D961" s="19"/>
      <c r="E961" s="113"/>
    </row>
    <row r="962" spans="2:5" ht="12.75" x14ac:dyDescent="0.2">
      <c r="B962" s="19"/>
      <c r="D962" s="19"/>
      <c r="E962" s="113"/>
    </row>
    <row r="963" spans="2:5" ht="12.75" x14ac:dyDescent="0.2">
      <c r="B963" s="19"/>
      <c r="D963" s="19"/>
      <c r="E963" s="113"/>
    </row>
    <row r="964" spans="2:5" ht="12.75" x14ac:dyDescent="0.2">
      <c r="B964" s="19"/>
      <c r="D964" s="19"/>
      <c r="E964" s="113"/>
    </row>
    <row r="965" spans="2:5" ht="12.75" x14ac:dyDescent="0.2">
      <c r="B965" s="19"/>
      <c r="D965" s="19"/>
      <c r="E965" s="113"/>
    </row>
    <row r="966" spans="2:5" ht="12.75" x14ac:dyDescent="0.2">
      <c r="B966" s="19"/>
      <c r="D966" s="19"/>
      <c r="E966" s="113"/>
    </row>
    <row r="967" spans="2:5" ht="12.75" x14ac:dyDescent="0.2">
      <c r="B967" s="19"/>
      <c r="D967" s="19"/>
      <c r="E967" s="113"/>
    </row>
    <row r="968" spans="2:5" ht="12.75" x14ac:dyDescent="0.2">
      <c r="B968" s="19"/>
      <c r="D968" s="19"/>
      <c r="E968" s="113"/>
    </row>
    <row r="969" spans="2:5" ht="12.75" x14ac:dyDescent="0.2">
      <c r="B969" s="19"/>
      <c r="D969" s="19"/>
      <c r="E969" s="113"/>
    </row>
    <row r="970" spans="2:5" ht="12.75" x14ac:dyDescent="0.2">
      <c r="B970" s="19"/>
      <c r="D970" s="19"/>
      <c r="E970" s="113"/>
    </row>
    <row r="971" spans="2:5" ht="12.75" x14ac:dyDescent="0.2">
      <c r="B971" s="19"/>
      <c r="D971" s="19"/>
      <c r="E971" s="113"/>
    </row>
    <row r="972" spans="2:5" ht="12.75" x14ac:dyDescent="0.2">
      <c r="B972" s="19"/>
      <c r="D972" s="19"/>
      <c r="E972" s="113"/>
    </row>
    <row r="973" spans="2:5" ht="12.75" x14ac:dyDescent="0.2">
      <c r="B973" s="19"/>
      <c r="D973" s="19"/>
      <c r="E973" s="113"/>
    </row>
    <row r="974" spans="2:5" ht="12.75" x14ac:dyDescent="0.2">
      <c r="B974" s="19"/>
      <c r="D974" s="19"/>
      <c r="E974" s="113"/>
    </row>
    <row r="975" spans="2:5" ht="12.75" x14ac:dyDescent="0.2">
      <c r="B975" s="19"/>
      <c r="D975" s="19"/>
      <c r="E975" s="113"/>
    </row>
    <row r="976" spans="2:5" ht="12.75" x14ac:dyDescent="0.2">
      <c r="B976" s="19"/>
      <c r="D976" s="19"/>
      <c r="E976" s="113"/>
    </row>
    <row r="977" spans="2:5" ht="12.75" x14ac:dyDescent="0.2">
      <c r="B977" s="19"/>
      <c r="D977" s="19"/>
      <c r="E977" s="113"/>
    </row>
    <row r="978" spans="2:5" ht="12.75" x14ac:dyDescent="0.2">
      <c r="B978" s="19"/>
      <c r="D978" s="19"/>
      <c r="E978" s="113"/>
    </row>
    <row r="979" spans="2:5" ht="12.75" x14ac:dyDescent="0.2">
      <c r="B979" s="19"/>
      <c r="D979" s="19"/>
      <c r="E979" s="113"/>
    </row>
    <row r="980" spans="2:5" ht="12.75" x14ac:dyDescent="0.2">
      <c r="B980" s="19"/>
      <c r="D980" s="19"/>
      <c r="E980" s="113"/>
    </row>
    <row r="981" spans="2:5" ht="12.75" x14ac:dyDescent="0.2">
      <c r="B981" s="19"/>
      <c r="D981" s="19"/>
      <c r="E981" s="113"/>
    </row>
    <row r="982" spans="2:5" ht="12.75" x14ac:dyDescent="0.2">
      <c r="B982" s="19"/>
      <c r="D982" s="19"/>
      <c r="E982" s="113"/>
    </row>
    <row r="983" spans="2:5" ht="12.75" x14ac:dyDescent="0.2">
      <c r="B983" s="19"/>
      <c r="D983" s="19"/>
      <c r="E983" s="113"/>
    </row>
    <row r="984" spans="2:5" ht="12.75" x14ac:dyDescent="0.2">
      <c r="B984" s="19"/>
      <c r="D984" s="19"/>
      <c r="E984" s="113"/>
    </row>
    <row r="985" spans="2:5" ht="12.75" x14ac:dyDescent="0.2">
      <c r="B985" s="19"/>
      <c r="D985" s="19"/>
      <c r="E985" s="113"/>
    </row>
    <row r="986" spans="2:5" ht="12.75" x14ac:dyDescent="0.2">
      <c r="B986" s="19"/>
      <c r="D986" s="19"/>
      <c r="E986" s="113"/>
    </row>
    <row r="987" spans="2:5" ht="12.75" x14ac:dyDescent="0.2">
      <c r="B987" s="19"/>
      <c r="D987" s="19"/>
      <c r="E987" s="113"/>
    </row>
    <row r="988" spans="2:5" ht="12.75" x14ac:dyDescent="0.2">
      <c r="B988" s="19"/>
      <c r="D988" s="19"/>
      <c r="E988" s="113"/>
    </row>
    <row r="989" spans="2:5" ht="12.75" x14ac:dyDescent="0.2">
      <c r="B989" s="19"/>
      <c r="D989" s="19"/>
      <c r="E989" s="113"/>
    </row>
    <row r="990" spans="2:5" ht="12.75" x14ac:dyDescent="0.2">
      <c r="B990" s="19"/>
      <c r="D990" s="19"/>
      <c r="E990" s="113"/>
    </row>
    <row r="991" spans="2:5" ht="12.75" x14ac:dyDescent="0.2">
      <c r="B991" s="19"/>
      <c r="D991" s="19"/>
      <c r="E991" s="113"/>
    </row>
    <row r="992" spans="2:5" ht="12.75" x14ac:dyDescent="0.2">
      <c r="B992" s="19"/>
      <c r="D992" s="19"/>
      <c r="E992" s="113"/>
    </row>
    <row r="993" spans="2:5" ht="12.75" x14ac:dyDescent="0.2">
      <c r="B993" s="19"/>
      <c r="D993" s="19"/>
      <c r="E993" s="113"/>
    </row>
    <row r="994" spans="2:5" ht="12.75" x14ac:dyDescent="0.2">
      <c r="B994" s="19"/>
      <c r="D994" s="19"/>
      <c r="E994" s="113"/>
    </row>
    <row r="995" spans="2:5" ht="12.75" x14ac:dyDescent="0.2">
      <c r="B995" s="19"/>
      <c r="D995" s="19"/>
      <c r="E995" s="113"/>
    </row>
    <row r="996" spans="2:5" ht="12.75" x14ac:dyDescent="0.2">
      <c r="B996" s="19"/>
      <c r="D996" s="19"/>
      <c r="E996" s="113"/>
    </row>
    <row r="997" spans="2:5" ht="12.75" x14ac:dyDescent="0.2">
      <c r="B997" s="19"/>
      <c r="D997" s="19"/>
      <c r="E997" s="113"/>
    </row>
    <row r="998" spans="2:5" ht="12.75" x14ac:dyDescent="0.2">
      <c r="B998" s="19"/>
      <c r="D998" s="19"/>
      <c r="E998" s="113"/>
    </row>
    <row r="999" spans="2:5" ht="12.75" x14ac:dyDescent="0.2">
      <c r="B999" s="19"/>
      <c r="D999" s="19"/>
      <c r="E999" s="113"/>
    </row>
  </sheetData>
  <protectedRanges>
    <protectedRange algorithmName="SHA-512" hashValue="dEd9X8lWev1tOeBGQpsa3pvXpagFiH4cWF+elmOc4hSWb+L0X8Wc3IC+V4s0/NobHrYODM/77wMqB95DKUmfaQ==" saltValue="2jehfdSXjzHrpeP3hZf4qA==" spinCount="100000" sqref="K6:O21" name="Estatísticas"/>
    <protectedRange algorithmName="SHA-512" hashValue="k7QNLIYasctr5/AgV3itqpXhp8xJP64ZbzwIMa31WtEtIyk+A/DnzO8sTIOO/yDGcnZJh+oFXHXs1KkC7S7t2A==" saltValue="dSNms0HPES7HBUQh2DLINQ==" spinCount="100000" sqref="A2:I3" name="Cabeçalhos"/>
  </protectedRanges>
  <mergeCells count="3">
    <mergeCell ref="A1:I1"/>
    <mergeCell ref="A2:E2"/>
    <mergeCell ref="G2:I2"/>
  </mergeCells>
  <conditionalFormatting sqref="L21">
    <cfRule type="cellIs" dxfId="1" priority="1" operator="lessThan">
      <formula>0</formula>
    </cfRule>
  </conditionalFormatting>
  <conditionalFormatting sqref="L21">
    <cfRule type="cellIs" dxfId="0" priority="2" operator="greaterThanOrEqual">
      <formula>0</formula>
    </cfRule>
  </conditionalFormatting>
  <dataValidations count="3">
    <dataValidation operator="greaterThan" allowBlank="1" showInputMessage="1" showErrorMessage="1" sqref="A3" xr:uid="{F4D78744-AEFC-439C-BBC3-37332DDC76F6}"/>
    <dataValidation type="list" allowBlank="1" showInputMessage="1" showErrorMessage="1" sqref="D4:D9" xr:uid="{BB8905EE-C38E-46EF-91BF-04BCB3806187}">
      <formula1>$K$8:$K$10</formula1>
    </dataValidation>
    <dataValidation type="list" allowBlank="1" showInputMessage="1" showErrorMessage="1" sqref="B4:B9" xr:uid="{3D4CD409-C3C5-4A13-B55D-E8F0BB2E7D33}">
      <formula1>$K$13:$K$16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5BF592-7581-4654-BD3F-E46DE104FD4C}">
          <x14:formula1>
            <xm:f>'5.Receitas'!$A$26:$A$37</xm:f>
          </x14:formula1>
          <xm:sqref>L5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Produção">
    <outlinePr summaryBelow="0" summaryRight="0"/>
  </sheetPr>
  <dimension ref="A1:AD1007"/>
  <sheetViews>
    <sheetView showGridLines="0" workbookViewId="0">
      <selection activeCell="B15" activeCellId="3" sqref="B2 B5:B8 B11:B13 B15:B17"/>
    </sheetView>
  </sheetViews>
  <sheetFormatPr defaultColWidth="12.5703125" defaultRowHeight="15.75" customHeight="1" x14ac:dyDescent="0.2"/>
  <cols>
    <col min="1" max="1" width="16.85546875" customWidth="1"/>
    <col min="2" max="2" width="15.7109375" customWidth="1"/>
    <col min="3" max="3" width="9.28515625" bestFit="1" customWidth="1"/>
    <col min="4" max="4" width="23" bestFit="1" customWidth="1"/>
    <col min="5" max="5" width="21.5703125" customWidth="1"/>
    <col min="6" max="6" width="17.28515625" bestFit="1" customWidth="1"/>
    <col min="7" max="8" width="23" bestFit="1" customWidth="1"/>
    <col min="9" max="9" width="11.42578125" bestFit="1" customWidth="1"/>
    <col min="10" max="10" width="35.42578125" bestFit="1" customWidth="1"/>
    <col min="12" max="12" width="12.42578125" customWidth="1"/>
    <col min="13" max="13" width="15.7109375" customWidth="1"/>
    <col min="15" max="15" width="9.85546875" customWidth="1"/>
    <col min="16" max="16" width="8.42578125" customWidth="1"/>
    <col min="17" max="17" width="30.5703125" customWidth="1"/>
    <col min="20" max="20" width="18.42578125" customWidth="1"/>
    <col min="21" max="21" width="19.85546875" customWidth="1"/>
  </cols>
  <sheetData>
    <row r="1" spans="1:23" ht="12.75" x14ac:dyDescent="0.2">
      <c r="A1" s="151" t="s">
        <v>0</v>
      </c>
      <c r="B1" s="152"/>
      <c r="E1" s="157" t="s">
        <v>84</v>
      </c>
      <c r="F1" s="158"/>
      <c r="G1" s="158"/>
      <c r="H1" s="158"/>
      <c r="I1" s="159"/>
    </row>
    <row r="2" spans="1:23" ht="12.75" x14ac:dyDescent="0.2">
      <c r="A2" s="1" t="s">
        <v>2</v>
      </c>
      <c r="B2" s="187">
        <v>37797</v>
      </c>
      <c r="E2" s="160" t="s">
        <v>3</v>
      </c>
      <c r="F2" s="161"/>
      <c r="G2" s="162"/>
      <c r="H2" s="78" t="s">
        <v>89</v>
      </c>
      <c r="I2" s="69">
        <f>Embalagem*BolosProd</f>
        <v>90</v>
      </c>
    </row>
    <row r="3" spans="1:23" ht="12.75" x14ac:dyDescent="0.2">
      <c r="A3" s="149" t="s">
        <v>3</v>
      </c>
      <c r="B3" s="150"/>
      <c r="E3" s="64" t="s">
        <v>5</v>
      </c>
      <c r="F3" s="59" t="s">
        <v>7</v>
      </c>
      <c r="G3" s="76" t="s">
        <v>6</v>
      </c>
      <c r="H3" s="38"/>
      <c r="I3" s="41"/>
    </row>
    <row r="4" spans="1:23" ht="12.75" x14ac:dyDescent="0.2">
      <c r="A4" s="2" t="s">
        <v>5</v>
      </c>
      <c r="B4" s="4" t="s">
        <v>8</v>
      </c>
      <c r="E4" s="65" t="s">
        <v>9</v>
      </c>
      <c r="F4" s="60">
        <f>G4/BolosProd</f>
        <v>0.26777777777777778</v>
      </c>
      <c r="G4" s="77">
        <f>Massa*B5</f>
        <v>12.049999999999999</v>
      </c>
      <c r="H4" s="38"/>
      <c r="I4" s="41"/>
      <c r="U4" s="6"/>
      <c r="V4" s="6"/>
      <c r="W4" s="6"/>
    </row>
    <row r="5" spans="1:23" ht="12.75" x14ac:dyDescent="0.2">
      <c r="A5" s="136" t="s">
        <v>9</v>
      </c>
      <c r="B5" s="188">
        <v>1</v>
      </c>
      <c r="E5" s="65" t="s">
        <v>14</v>
      </c>
      <c r="F5" s="60">
        <f>IFERROR(G5/B11,0)</f>
        <v>3.8990090090090086</v>
      </c>
      <c r="G5" s="77">
        <f>Chocolate*B6</f>
        <v>38.990090090090085</v>
      </c>
      <c r="H5" s="38"/>
      <c r="I5" s="41"/>
      <c r="U5" s="6"/>
      <c r="V5" s="6"/>
      <c r="W5" s="6"/>
    </row>
    <row r="6" spans="1:23" ht="12.75" x14ac:dyDescent="0.2">
      <c r="A6" s="136" t="s">
        <v>14</v>
      </c>
      <c r="B6" s="188">
        <v>2</v>
      </c>
      <c r="E6" s="65" t="s">
        <v>15</v>
      </c>
      <c r="F6" s="60">
        <f>IFERROR(G6/B12,0)</f>
        <v>2.9923423423423419</v>
      </c>
      <c r="G6" s="77">
        <f>ChocolateB*B7</f>
        <v>44.88513513513513</v>
      </c>
      <c r="H6" s="38"/>
      <c r="I6" s="41"/>
    </row>
    <row r="7" spans="1:23" ht="12.75" x14ac:dyDescent="0.2">
      <c r="A7" s="136" t="s">
        <v>15</v>
      </c>
      <c r="B7" s="188">
        <v>3</v>
      </c>
      <c r="E7" s="65" t="s">
        <v>16</v>
      </c>
      <c r="F7" s="60">
        <f>IFERROR(G7/B13,0)</f>
        <v>3.1484826932195356</v>
      </c>
      <c r="G7" s="77">
        <f>Morango*B8</f>
        <v>62.969653864390708</v>
      </c>
      <c r="H7" s="38"/>
      <c r="I7" s="41"/>
    </row>
    <row r="8" spans="1:23" ht="12.75" x14ac:dyDescent="0.2">
      <c r="A8" s="136" t="s">
        <v>16</v>
      </c>
      <c r="B8" s="188">
        <v>4</v>
      </c>
      <c r="E8" s="160" t="s">
        <v>18</v>
      </c>
      <c r="F8" s="161"/>
      <c r="G8" s="161"/>
      <c r="H8" s="161"/>
      <c r="I8" s="162"/>
    </row>
    <row r="9" spans="1:23" ht="12.75" x14ac:dyDescent="0.2">
      <c r="A9" s="149" t="s">
        <v>19</v>
      </c>
      <c r="B9" s="150"/>
      <c r="E9" s="66" t="s">
        <v>83</v>
      </c>
      <c r="F9" s="61" t="s">
        <v>85</v>
      </c>
      <c r="G9" s="61" t="s">
        <v>86</v>
      </c>
      <c r="H9" s="61" t="s">
        <v>87</v>
      </c>
      <c r="I9" s="67" t="s">
        <v>21</v>
      </c>
    </row>
    <row r="10" spans="1:23" ht="12.75" x14ac:dyDescent="0.2">
      <c r="A10" s="8" t="s">
        <v>20</v>
      </c>
      <c r="B10" s="9" t="s">
        <v>22</v>
      </c>
      <c r="E10" s="65" t="s">
        <v>14</v>
      </c>
      <c r="F10" s="62">
        <f>IFERROR($F$4+F5,0)</f>
        <v>4.166786786786786</v>
      </c>
      <c r="G10" s="62">
        <f>F10*Adicional</f>
        <v>1.2500360360360359</v>
      </c>
      <c r="H10" s="63">
        <f>F10+G10+Embalagem</f>
        <v>7.4168228228228221</v>
      </c>
      <c r="I10" s="68">
        <f>H10*B11</f>
        <v>74.168228228228216</v>
      </c>
      <c r="N10" s="56"/>
    </row>
    <row r="11" spans="1:23" ht="12.75" x14ac:dyDescent="0.2">
      <c r="A11" s="136" t="s">
        <v>14</v>
      </c>
      <c r="B11" s="188">
        <v>10</v>
      </c>
      <c r="E11" s="65" t="s">
        <v>15</v>
      </c>
      <c r="F11" s="62">
        <f>IFERROR($F$4+F6,0)</f>
        <v>3.2601201201201198</v>
      </c>
      <c r="G11" s="62">
        <f>F11*Adicional</f>
        <v>0.97803603603603584</v>
      </c>
      <c r="H11" s="63">
        <f>F11+G11+Embalagem</f>
        <v>6.2381561561561556</v>
      </c>
      <c r="I11" s="68">
        <f>H11*B12</f>
        <v>93.572342342342338</v>
      </c>
      <c r="N11" s="56"/>
    </row>
    <row r="12" spans="1:23" ht="12.75" x14ac:dyDescent="0.2">
      <c r="A12" s="136" t="s">
        <v>15</v>
      </c>
      <c r="B12" s="188">
        <v>15</v>
      </c>
      <c r="E12" s="65" t="s">
        <v>17</v>
      </c>
      <c r="F12" s="62">
        <f>IFERROR($F$4+F7,0)</f>
        <v>3.4162604709973134</v>
      </c>
      <c r="G12" s="62">
        <f>F12*Adicional</f>
        <v>1.0248781412991941</v>
      </c>
      <c r="H12" s="63">
        <f>F12+G12+Embalagem</f>
        <v>6.4411386122965073</v>
      </c>
      <c r="I12" s="68">
        <f>H12*B13</f>
        <v>128.82277224593014</v>
      </c>
      <c r="N12" s="56"/>
    </row>
    <row r="13" spans="1:23" ht="13.5" thickBot="1" x14ac:dyDescent="0.25">
      <c r="A13" s="136" t="s">
        <v>17</v>
      </c>
      <c r="B13" s="188">
        <v>20</v>
      </c>
      <c r="E13" s="71" t="s">
        <v>25</v>
      </c>
      <c r="F13" s="72">
        <f>$B$11*F10+$B$12*F11+$B$13*F12</f>
        <v>158.89487908961593</v>
      </c>
      <c r="G13" s="72">
        <f>$B$11*G10+$B$12*G11+$B$13*G12</f>
        <v>47.668463726884781</v>
      </c>
      <c r="H13" s="73" t="s">
        <v>26</v>
      </c>
      <c r="I13" s="74">
        <f>SUM(I10:I12)</f>
        <v>296.56334281650072</v>
      </c>
    </row>
    <row r="14" spans="1:23" ht="13.5" thickBot="1" x14ac:dyDescent="0.25">
      <c r="A14" s="11" t="s">
        <v>25</v>
      </c>
      <c r="B14" s="12">
        <f>SUM(B11:B13)</f>
        <v>45</v>
      </c>
      <c r="D14" s="79"/>
      <c r="E14" s="115"/>
      <c r="F14" s="115"/>
      <c r="G14" s="115"/>
      <c r="H14" s="115"/>
      <c r="I14" s="115"/>
    </row>
    <row r="15" spans="1:23" ht="12.75" x14ac:dyDescent="0.2">
      <c r="A15" s="1" t="s">
        <v>88</v>
      </c>
      <c r="B15" s="189">
        <v>2</v>
      </c>
      <c r="E15" s="163" t="s">
        <v>1</v>
      </c>
      <c r="F15" s="164"/>
      <c r="G15" s="164"/>
      <c r="H15" s="165"/>
      <c r="I15" s="115"/>
    </row>
    <row r="16" spans="1:23" ht="13.5" thickBot="1" x14ac:dyDescent="0.25">
      <c r="A16" s="1" t="s">
        <v>90</v>
      </c>
      <c r="B16" s="190">
        <v>0.3</v>
      </c>
      <c r="E16" s="154" t="s">
        <v>76</v>
      </c>
      <c r="F16" s="155"/>
      <c r="G16" s="156"/>
      <c r="H16" s="39">
        <f>'3.Produção '!I13/B17</f>
        <v>19.770889521100049</v>
      </c>
      <c r="I16" s="115"/>
    </row>
    <row r="17" spans="1:30" ht="15.75" customHeight="1" x14ac:dyDescent="0.2">
      <c r="A17" s="1" t="s">
        <v>4</v>
      </c>
      <c r="B17" s="191">
        <v>15</v>
      </c>
      <c r="E17" s="40"/>
      <c r="F17" s="38"/>
      <c r="G17" s="38"/>
      <c r="H17" s="41"/>
      <c r="I17" s="115"/>
    </row>
    <row r="18" spans="1:30" ht="15.75" customHeight="1" x14ac:dyDescent="0.2">
      <c r="E18" s="42" t="s">
        <v>10</v>
      </c>
      <c r="F18" s="5" t="s">
        <v>11</v>
      </c>
      <c r="G18" s="5" t="s">
        <v>12</v>
      </c>
      <c r="H18" s="43" t="s">
        <v>13</v>
      </c>
      <c r="I18" s="115"/>
    </row>
    <row r="19" spans="1:30" ht="15.75" customHeight="1" x14ac:dyDescent="0.2">
      <c r="E19" s="44" t="s">
        <v>14</v>
      </c>
      <c r="F19" s="7">
        <f>'3.Produção '!H10</f>
        <v>7.4168228228228221</v>
      </c>
      <c r="G19" s="7">
        <f>$B$17-F19</f>
        <v>7.5831771771771779</v>
      </c>
      <c r="H19" s="45">
        <f>$B$17/F19-1</f>
        <v>1.0224293283429198</v>
      </c>
      <c r="I19" s="115"/>
    </row>
    <row r="20" spans="1:30" ht="15.75" customHeight="1" x14ac:dyDescent="0.2">
      <c r="E20" s="44" t="s">
        <v>15</v>
      </c>
      <c r="F20" s="7">
        <f>'3.Produção '!H11</f>
        <v>6.2381561561561556</v>
      </c>
      <c r="G20" s="7">
        <f>$B$17-F20</f>
        <v>8.7618438438438453</v>
      </c>
      <c r="H20" s="45">
        <f>$B$17/F20-1</f>
        <v>1.404556670995992</v>
      </c>
      <c r="I20" s="115"/>
    </row>
    <row r="21" spans="1:30" ht="15.75" customHeight="1" thickBot="1" x14ac:dyDescent="0.25">
      <c r="E21" s="52" t="s">
        <v>17</v>
      </c>
      <c r="F21" s="53">
        <f>'3.Produção '!H12</f>
        <v>6.4411386122965073</v>
      </c>
      <c r="G21" s="53">
        <f>$B$17-F21</f>
        <v>8.5588613877034927</v>
      </c>
      <c r="H21" s="54">
        <f>$B$17/F21-1</f>
        <v>1.3287808107970429</v>
      </c>
    </row>
    <row r="23" spans="1:30" ht="12.75" x14ac:dyDescent="0.2"/>
    <row r="26" spans="1:30" ht="12.75" x14ac:dyDescent="0.2">
      <c r="E26" s="114"/>
      <c r="F26" s="114"/>
      <c r="G26" s="114"/>
    </row>
    <row r="27" spans="1:30" ht="12.75" x14ac:dyDescent="0.2">
      <c r="E27" s="114"/>
      <c r="F27" s="114"/>
      <c r="G27" s="114"/>
      <c r="X27" s="147"/>
      <c r="Y27" s="148"/>
      <c r="Z27" s="148"/>
      <c r="AB27" s="147"/>
      <c r="AC27" s="148"/>
      <c r="AD27" s="148"/>
    </row>
    <row r="31" spans="1:30" ht="12.75" x14ac:dyDescent="0.2">
      <c r="E31" s="114"/>
      <c r="F31" s="114"/>
      <c r="G31" s="114"/>
      <c r="X31" s="14"/>
      <c r="AB31" s="14"/>
    </row>
    <row r="39" spans="5:26" ht="12.75" x14ac:dyDescent="0.2">
      <c r="E39" s="114"/>
      <c r="F39" s="114"/>
      <c r="G39" s="114"/>
      <c r="X39" s="147"/>
      <c r="Y39" s="148"/>
      <c r="Z39" s="148"/>
    </row>
    <row r="41" spans="5:26" ht="12.75" x14ac:dyDescent="0.2">
      <c r="E41" s="15"/>
    </row>
    <row r="42" spans="5:26" ht="12.75" x14ac:dyDescent="0.2">
      <c r="E42" s="15"/>
    </row>
    <row r="43" spans="5:26" ht="12.75" x14ac:dyDescent="0.2">
      <c r="X43" s="14"/>
    </row>
    <row r="65" spans="1:20" ht="15.75" customHeight="1" x14ac:dyDescent="0.2">
      <c r="A65" s="37"/>
      <c r="B65" s="153" t="s">
        <v>81</v>
      </c>
      <c r="C65" s="153"/>
      <c r="D65" s="153"/>
      <c r="E65" s="153"/>
      <c r="F65" s="153"/>
      <c r="G65" s="153"/>
      <c r="H65" s="153"/>
      <c r="I65" s="153"/>
      <c r="J65" s="146" t="s">
        <v>11</v>
      </c>
      <c r="K65" s="146"/>
      <c r="L65" s="146"/>
      <c r="M65" s="146"/>
      <c r="N65" s="146"/>
      <c r="O65" s="146"/>
      <c r="P65" s="146"/>
      <c r="Q65" s="146"/>
      <c r="R65" s="146"/>
      <c r="S65" s="146"/>
    </row>
    <row r="66" spans="1:20" ht="15.75" customHeight="1" x14ac:dyDescent="0.2">
      <c r="A66" s="50" t="s">
        <v>29</v>
      </c>
      <c r="B66" s="48" t="s">
        <v>9</v>
      </c>
      <c r="C66" s="48" t="s">
        <v>14</v>
      </c>
      <c r="D66" s="48" t="s">
        <v>15</v>
      </c>
      <c r="E66" s="48" t="s">
        <v>16</v>
      </c>
      <c r="F66" s="48" t="s">
        <v>77</v>
      </c>
      <c r="G66" s="48" t="s">
        <v>78</v>
      </c>
      <c r="H66" s="48" t="s">
        <v>41</v>
      </c>
      <c r="I66" s="48" t="s">
        <v>82</v>
      </c>
      <c r="J66" s="49" t="s">
        <v>9</v>
      </c>
      <c r="K66" s="49" t="s">
        <v>14</v>
      </c>
      <c r="L66" s="49" t="s">
        <v>15</v>
      </c>
      <c r="M66" s="49" t="s">
        <v>16</v>
      </c>
      <c r="N66" s="49" t="s">
        <v>77</v>
      </c>
      <c r="O66" s="49" t="s">
        <v>78</v>
      </c>
      <c r="P66" s="49" t="s">
        <v>41</v>
      </c>
      <c r="Q66" s="49" t="s">
        <v>79</v>
      </c>
      <c r="R66" s="49" t="s">
        <v>80</v>
      </c>
      <c r="S66" s="127" t="s">
        <v>101</v>
      </c>
      <c r="T66" s="49" t="s">
        <v>25</v>
      </c>
    </row>
    <row r="67" spans="1:20" ht="12.75" x14ac:dyDescent="0.2">
      <c r="A67" s="47">
        <f>B2</f>
        <v>37797</v>
      </c>
      <c r="B67">
        <f>B5</f>
        <v>1</v>
      </c>
      <c r="C67">
        <f>B6</f>
        <v>2</v>
      </c>
      <c r="D67">
        <f>B7</f>
        <v>3</v>
      </c>
      <c r="E67">
        <f>B8</f>
        <v>4</v>
      </c>
      <c r="F67">
        <f>B11</f>
        <v>10</v>
      </c>
      <c r="G67">
        <f>B12</f>
        <v>15</v>
      </c>
      <c r="H67">
        <f>B13</f>
        <v>20</v>
      </c>
      <c r="I67">
        <f>BolosProd</f>
        <v>45</v>
      </c>
      <c r="J67" s="57">
        <f>G4</f>
        <v>12.049999999999999</v>
      </c>
      <c r="K67" s="57">
        <f>G5</f>
        <v>38.990090090090085</v>
      </c>
      <c r="L67" s="57">
        <f>G6</f>
        <v>44.88513513513513</v>
      </c>
      <c r="M67" s="57">
        <f>G7</f>
        <v>62.969653864390708</v>
      </c>
      <c r="N67" s="57">
        <f>I10</f>
        <v>74.168228228228216</v>
      </c>
      <c r="O67" s="57">
        <f>I11</f>
        <v>93.572342342342338</v>
      </c>
      <c r="P67" s="57">
        <f>I12</f>
        <v>128.82277224593014</v>
      </c>
      <c r="Q67" s="58">
        <f>Embalagem*BolosProd</f>
        <v>90</v>
      </c>
      <c r="R67" s="56">
        <f>G13</f>
        <v>47.668463726884781</v>
      </c>
      <c r="S67" s="128">
        <f>H16</f>
        <v>19.770889521100049</v>
      </c>
      <c r="T67" s="57">
        <f>I13</f>
        <v>296.56334281650072</v>
      </c>
    </row>
    <row r="68" spans="1:20" ht="12.75" x14ac:dyDescent="0.2">
      <c r="E68" s="6"/>
    </row>
    <row r="69" spans="1:20" ht="12.75" x14ac:dyDescent="0.2">
      <c r="E69" s="15"/>
    </row>
    <row r="70" spans="1:20" ht="12.75" x14ac:dyDescent="0.2">
      <c r="A70" s="80" t="s">
        <v>29</v>
      </c>
      <c r="B70" s="81" t="s">
        <v>91</v>
      </c>
      <c r="C70" s="80" t="s">
        <v>33</v>
      </c>
      <c r="E70" s="15"/>
    </row>
    <row r="71" spans="1:20" ht="12.75" x14ac:dyDescent="0.2">
      <c r="A71" s="47">
        <f>B2</f>
        <v>37797</v>
      </c>
      <c r="B71">
        <f>BolosProd</f>
        <v>45</v>
      </c>
      <c r="C71" s="57">
        <f>I13</f>
        <v>296.56334281650072</v>
      </c>
      <c r="E71" s="15"/>
    </row>
    <row r="72" spans="1:20" ht="12.75" x14ac:dyDescent="0.2">
      <c r="E72" s="15"/>
    </row>
    <row r="73" spans="1:20" ht="12.75" x14ac:dyDescent="0.2">
      <c r="E73" s="15"/>
    </row>
    <row r="74" spans="1:20" ht="12.75" x14ac:dyDescent="0.2">
      <c r="E74" s="15"/>
    </row>
    <row r="75" spans="1:20" ht="12.75" x14ac:dyDescent="0.2">
      <c r="E75" s="15"/>
    </row>
    <row r="76" spans="1:20" ht="12.75" x14ac:dyDescent="0.2">
      <c r="E76" s="15"/>
    </row>
    <row r="77" spans="1:20" ht="12.75" x14ac:dyDescent="0.2">
      <c r="E77" s="15"/>
    </row>
    <row r="78" spans="1:20" ht="12.75" x14ac:dyDescent="0.2">
      <c r="E78" s="15"/>
    </row>
    <row r="79" spans="1:20" ht="12.75" x14ac:dyDescent="0.2">
      <c r="E79" s="15"/>
    </row>
    <row r="80" spans="1:20" ht="12.75" x14ac:dyDescent="0.2">
      <c r="E80" s="15"/>
    </row>
    <row r="81" spans="5:5" ht="12.75" x14ac:dyDescent="0.2">
      <c r="E81" s="15"/>
    </row>
    <row r="82" spans="5:5" ht="12.75" x14ac:dyDescent="0.2">
      <c r="E82" s="15"/>
    </row>
    <row r="83" spans="5:5" ht="12.75" x14ac:dyDescent="0.2">
      <c r="E83" s="15"/>
    </row>
    <row r="84" spans="5:5" ht="12.75" x14ac:dyDescent="0.2">
      <c r="E84" s="15"/>
    </row>
    <row r="85" spans="5:5" ht="12.75" x14ac:dyDescent="0.2">
      <c r="E85" s="15"/>
    </row>
    <row r="86" spans="5:5" ht="12.75" x14ac:dyDescent="0.2">
      <c r="E86" s="15"/>
    </row>
    <row r="87" spans="5:5" ht="12.75" x14ac:dyDescent="0.2">
      <c r="E87" s="15"/>
    </row>
    <row r="88" spans="5:5" ht="12.75" x14ac:dyDescent="0.2">
      <c r="E88" s="15"/>
    </row>
    <row r="89" spans="5:5" ht="12.75" x14ac:dyDescent="0.2">
      <c r="E89" s="15"/>
    </row>
    <row r="90" spans="5:5" ht="12.75" x14ac:dyDescent="0.2">
      <c r="E90" s="15"/>
    </row>
    <row r="91" spans="5:5" ht="12.75" x14ac:dyDescent="0.2">
      <c r="E91" s="15"/>
    </row>
    <row r="92" spans="5:5" ht="12.75" x14ac:dyDescent="0.2">
      <c r="E92" s="15"/>
    </row>
    <row r="93" spans="5:5" ht="12.75" x14ac:dyDescent="0.2">
      <c r="E93" s="15"/>
    </row>
    <row r="94" spans="5:5" ht="12.75" x14ac:dyDescent="0.2">
      <c r="E94" s="15"/>
    </row>
    <row r="95" spans="5:5" ht="12.75" x14ac:dyDescent="0.2">
      <c r="E95" s="15"/>
    </row>
    <row r="96" spans="5:5" ht="12.75" x14ac:dyDescent="0.2">
      <c r="E96" s="15"/>
    </row>
    <row r="97" spans="5:5" ht="12.75" x14ac:dyDescent="0.2">
      <c r="E97" s="15"/>
    </row>
    <row r="98" spans="5:5" ht="12.75" x14ac:dyDescent="0.2">
      <c r="E98" s="15"/>
    </row>
    <row r="99" spans="5:5" ht="12.75" x14ac:dyDescent="0.2">
      <c r="E99" s="15"/>
    </row>
    <row r="100" spans="5:5" ht="12.75" x14ac:dyDescent="0.2">
      <c r="E100" s="15"/>
    </row>
    <row r="101" spans="5:5" ht="12.75" x14ac:dyDescent="0.2">
      <c r="E101" s="15"/>
    </row>
    <row r="102" spans="5:5" ht="12.75" x14ac:dyDescent="0.2">
      <c r="E102" s="15"/>
    </row>
    <row r="103" spans="5:5" ht="12.75" x14ac:dyDescent="0.2">
      <c r="E103" s="15"/>
    </row>
    <row r="104" spans="5:5" ht="12.75" x14ac:dyDescent="0.2">
      <c r="E104" s="15"/>
    </row>
    <row r="105" spans="5:5" ht="12.75" x14ac:dyDescent="0.2">
      <c r="E105" s="15"/>
    </row>
    <row r="106" spans="5:5" ht="12.75" x14ac:dyDescent="0.2">
      <c r="E106" s="15"/>
    </row>
    <row r="107" spans="5:5" ht="12.75" x14ac:dyDescent="0.2">
      <c r="E107" s="15"/>
    </row>
    <row r="108" spans="5:5" ht="12.75" x14ac:dyDescent="0.2">
      <c r="E108" s="15"/>
    </row>
    <row r="109" spans="5:5" ht="12.75" x14ac:dyDescent="0.2">
      <c r="E109" s="15"/>
    </row>
    <row r="110" spans="5:5" ht="12.75" x14ac:dyDescent="0.2">
      <c r="E110" s="15"/>
    </row>
    <row r="111" spans="5:5" ht="12.75" x14ac:dyDescent="0.2">
      <c r="E111" s="15"/>
    </row>
    <row r="112" spans="5:5" ht="12.75" x14ac:dyDescent="0.2">
      <c r="E112" s="15"/>
    </row>
    <row r="113" spans="5:5" ht="12.75" x14ac:dyDescent="0.2">
      <c r="E113" s="15"/>
    </row>
    <row r="114" spans="5:5" ht="12.75" x14ac:dyDescent="0.2">
      <c r="E114" s="15"/>
    </row>
    <row r="115" spans="5:5" ht="12.75" x14ac:dyDescent="0.2">
      <c r="E115" s="15"/>
    </row>
    <row r="116" spans="5:5" ht="12.75" x14ac:dyDescent="0.2">
      <c r="E116" s="15"/>
    </row>
    <row r="117" spans="5:5" ht="12.75" x14ac:dyDescent="0.2">
      <c r="E117" s="15"/>
    </row>
    <row r="118" spans="5:5" ht="12.75" x14ac:dyDescent="0.2">
      <c r="E118" s="15"/>
    </row>
    <row r="119" spans="5:5" ht="12.75" x14ac:dyDescent="0.2">
      <c r="E119" s="15"/>
    </row>
    <row r="120" spans="5:5" ht="12.75" x14ac:dyDescent="0.2">
      <c r="E120" s="15"/>
    </row>
    <row r="121" spans="5:5" ht="12.75" x14ac:dyDescent="0.2">
      <c r="E121" s="15"/>
    </row>
    <row r="122" spans="5:5" ht="12.75" x14ac:dyDescent="0.2">
      <c r="E122" s="15"/>
    </row>
    <row r="123" spans="5:5" ht="12.75" x14ac:dyDescent="0.2">
      <c r="E123" s="15"/>
    </row>
    <row r="124" spans="5:5" ht="12.75" x14ac:dyDescent="0.2">
      <c r="E124" s="15"/>
    </row>
    <row r="125" spans="5:5" ht="12.75" x14ac:dyDescent="0.2">
      <c r="E125" s="15"/>
    </row>
    <row r="126" spans="5:5" ht="12.75" x14ac:dyDescent="0.2">
      <c r="E126" s="15"/>
    </row>
    <row r="127" spans="5:5" ht="12.75" x14ac:dyDescent="0.2">
      <c r="E127" s="15"/>
    </row>
    <row r="128" spans="5:5" ht="12.75" x14ac:dyDescent="0.2">
      <c r="E128" s="15"/>
    </row>
    <row r="129" spans="5:5" ht="12.75" x14ac:dyDescent="0.2">
      <c r="E129" s="15"/>
    </row>
    <row r="130" spans="5:5" ht="12.75" x14ac:dyDescent="0.2">
      <c r="E130" s="15"/>
    </row>
    <row r="131" spans="5:5" ht="12.75" x14ac:dyDescent="0.2">
      <c r="E131" s="15"/>
    </row>
    <row r="132" spans="5:5" ht="12.75" x14ac:dyDescent="0.2">
      <c r="E132" s="15"/>
    </row>
    <row r="133" spans="5:5" ht="12.75" x14ac:dyDescent="0.2">
      <c r="E133" s="15"/>
    </row>
    <row r="134" spans="5:5" ht="12.75" x14ac:dyDescent="0.2">
      <c r="E134" s="15"/>
    </row>
    <row r="135" spans="5:5" ht="12.75" x14ac:dyDescent="0.2">
      <c r="E135" s="15"/>
    </row>
    <row r="136" spans="5:5" ht="12.75" x14ac:dyDescent="0.2">
      <c r="E136" s="15"/>
    </row>
    <row r="137" spans="5:5" ht="12.75" x14ac:dyDescent="0.2">
      <c r="E137" s="15"/>
    </row>
    <row r="138" spans="5:5" ht="12.75" x14ac:dyDescent="0.2">
      <c r="E138" s="15"/>
    </row>
    <row r="139" spans="5:5" ht="12.75" x14ac:dyDescent="0.2">
      <c r="E139" s="15"/>
    </row>
    <row r="140" spans="5:5" ht="12.75" x14ac:dyDescent="0.2">
      <c r="E140" s="15"/>
    </row>
    <row r="141" spans="5:5" ht="12.75" x14ac:dyDescent="0.2">
      <c r="E141" s="15"/>
    </row>
    <row r="142" spans="5:5" ht="12.75" x14ac:dyDescent="0.2">
      <c r="E142" s="15"/>
    </row>
    <row r="143" spans="5:5" ht="12.75" x14ac:dyDescent="0.2">
      <c r="E143" s="15"/>
    </row>
    <row r="144" spans="5:5" ht="12.75" x14ac:dyDescent="0.2">
      <c r="E144" s="15"/>
    </row>
    <row r="145" spans="5:5" ht="12.75" x14ac:dyDescent="0.2">
      <c r="E145" s="15"/>
    </row>
    <row r="146" spans="5:5" ht="12.75" x14ac:dyDescent="0.2">
      <c r="E146" s="15"/>
    </row>
    <row r="147" spans="5:5" ht="12.75" x14ac:dyDescent="0.2">
      <c r="E147" s="15"/>
    </row>
    <row r="148" spans="5:5" ht="12.75" x14ac:dyDescent="0.2">
      <c r="E148" s="15"/>
    </row>
    <row r="149" spans="5:5" ht="12.75" x14ac:dyDescent="0.2">
      <c r="E149" s="15"/>
    </row>
    <row r="150" spans="5:5" ht="12.75" x14ac:dyDescent="0.2">
      <c r="E150" s="15"/>
    </row>
    <row r="151" spans="5:5" ht="12.75" x14ac:dyDescent="0.2">
      <c r="E151" s="15"/>
    </row>
    <row r="152" spans="5:5" ht="12.75" x14ac:dyDescent="0.2">
      <c r="E152" s="15"/>
    </row>
    <row r="153" spans="5:5" ht="12.75" x14ac:dyDescent="0.2">
      <c r="E153" s="15"/>
    </row>
    <row r="154" spans="5:5" ht="12.75" x14ac:dyDescent="0.2">
      <c r="E154" s="15"/>
    </row>
    <row r="155" spans="5:5" ht="12.75" x14ac:dyDescent="0.2">
      <c r="E155" s="15"/>
    </row>
    <row r="156" spans="5:5" ht="12.75" x14ac:dyDescent="0.2">
      <c r="E156" s="15"/>
    </row>
    <row r="157" spans="5:5" ht="12.75" x14ac:dyDescent="0.2">
      <c r="E157" s="15"/>
    </row>
    <row r="158" spans="5:5" ht="12.75" x14ac:dyDescent="0.2">
      <c r="E158" s="15"/>
    </row>
    <row r="159" spans="5:5" ht="12.75" x14ac:dyDescent="0.2">
      <c r="E159" s="15"/>
    </row>
    <row r="160" spans="5:5" ht="12.75" x14ac:dyDescent="0.2">
      <c r="E160" s="15"/>
    </row>
    <row r="161" spans="5:5" ht="12.75" x14ac:dyDescent="0.2">
      <c r="E161" s="15"/>
    </row>
    <row r="162" spans="5:5" ht="12.75" x14ac:dyDescent="0.2">
      <c r="E162" s="15"/>
    </row>
    <row r="163" spans="5:5" ht="12.75" x14ac:dyDescent="0.2">
      <c r="E163" s="15"/>
    </row>
    <row r="164" spans="5:5" ht="12.75" x14ac:dyDescent="0.2">
      <c r="E164" s="15"/>
    </row>
    <row r="165" spans="5:5" ht="12.75" x14ac:dyDescent="0.2">
      <c r="E165" s="15"/>
    </row>
    <row r="166" spans="5:5" ht="12.75" x14ac:dyDescent="0.2">
      <c r="E166" s="15"/>
    </row>
    <row r="167" spans="5:5" ht="12.75" x14ac:dyDescent="0.2">
      <c r="E167" s="15"/>
    </row>
    <row r="168" spans="5:5" ht="12.75" x14ac:dyDescent="0.2">
      <c r="E168" s="15"/>
    </row>
    <row r="169" spans="5:5" ht="12.75" x14ac:dyDescent="0.2">
      <c r="E169" s="15"/>
    </row>
    <row r="170" spans="5:5" ht="12.75" x14ac:dyDescent="0.2">
      <c r="E170" s="15"/>
    </row>
    <row r="171" spans="5:5" ht="12.75" x14ac:dyDescent="0.2">
      <c r="E171" s="15"/>
    </row>
    <row r="172" spans="5:5" ht="12.75" x14ac:dyDescent="0.2">
      <c r="E172" s="15"/>
    </row>
    <row r="173" spans="5:5" ht="12.75" x14ac:dyDescent="0.2">
      <c r="E173" s="15"/>
    </row>
    <row r="174" spans="5:5" ht="12.75" x14ac:dyDescent="0.2">
      <c r="E174" s="15"/>
    </row>
    <row r="175" spans="5:5" ht="12.75" x14ac:dyDescent="0.2">
      <c r="E175" s="15"/>
    </row>
    <row r="176" spans="5:5" ht="12.75" x14ac:dyDescent="0.2">
      <c r="E176" s="15"/>
    </row>
    <row r="177" spans="5:5" ht="12.75" x14ac:dyDescent="0.2">
      <c r="E177" s="15"/>
    </row>
    <row r="178" spans="5:5" ht="12.75" x14ac:dyDescent="0.2">
      <c r="E178" s="15"/>
    </row>
    <row r="179" spans="5:5" ht="12.75" x14ac:dyDescent="0.2">
      <c r="E179" s="15"/>
    </row>
    <row r="180" spans="5:5" ht="12.75" x14ac:dyDescent="0.2">
      <c r="E180" s="15"/>
    </row>
    <row r="181" spans="5:5" ht="12.75" x14ac:dyDescent="0.2">
      <c r="E181" s="15"/>
    </row>
    <row r="182" spans="5:5" ht="12.75" x14ac:dyDescent="0.2">
      <c r="E182" s="15"/>
    </row>
    <row r="183" spans="5:5" ht="12.75" x14ac:dyDescent="0.2">
      <c r="E183" s="15"/>
    </row>
    <row r="184" spans="5:5" ht="12.75" x14ac:dyDescent="0.2">
      <c r="E184" s="15"/>
    </row>
    <row r="185" spans="5:5" ht="12.75" x14ac:dyDescent="0.2">
      <c r="E185" s="15"/>
    </row>
    <row r="186" spans="5:5" ht="12.75" x14ac:dyDescent="0.2">
      <c r="E186" s="15"/>
    </row>
    <row r="187" spans="5:5" ht="12.75" x14ac:dyDescent="0.2">
      <c r="E187" s="15"/>
    </row>
    <row r="188" spans="5:5" ht="12.75" x14ac:dyDescent="0.2">
      <c r="E188" s="15"/>
    </row>
    <row r="189" spans="5:5" ht="12.75" x14ac:dyDescent="0.2">
      <c r="E189" s="15"/>
    </row>
    <row r="190" spans="5:5" ht="12.75" x14ac:dyDescent="0.2">
      <c r="E190" s="15"/>
    </row>
    <row r="191" spans="5:5" ht="12.75" x14ac:dyDescent="0.2">
      <c r="E191" s="15"/>
    </row>
    <row r="192" spans="5:5" ht="12.75" x14ac:dyDescent="0.2">
      <c r="E192" s="15"/>
    </row>
    <row r="193" spans="5:5" ht="12.75" x14ac:dyDescent="0.2">
      <c r="E193" s="15"/>
    </row>
    <row r="194" spans="5:5" ht="12.75" x14ac:dyDescent="0.2">
      <c r="E194" s="15"/>
    </row>
    <row r="195" spans="5:5" ht="12.75" x14ac:dyDescent="0.2">
      <c r="E195" s="15"/>
    </row>
    <row r="196" spans="5:5" ht="12.75" x14ac:dyDescent="0.2">
      <c r="E196" s="15"/>
    </row>
    <row r="197" spans="5:5" ht="12.75" x14ac:dyDescent="0.2">
      <c r="E197" s="15"/>
    </row>
    <row r="198" spans="5:5" ht="12.75" x14ac:dyDescent="0.2">
      <c r="E198" s="15"/>
    </row>
    <row r="199" spans="5:5" ht="12.75" x14ac:dyDescent="0.2">
      <c r="E199" s="15"/>
    </row>
    <row r="200" spans="5:5" ht="12.75" x14ac:dyDescent="0.2">
      <c r="E200" s="15"/>
    </row>
    <row r="201" spans="5:5" ht="12.75" x14ac:dyDescent="0.2">
      <c r="E201" s="15"/>
    </row>
    <row r="202" spans="5:5" ht="12.75" x14ac:dyDescent="0.2">
      <c r="E202" s="15"/>
    </row>
    <row r="203" spans="5:5" ht="12.75" x14ac:dyDescent="0.2">
      <c r="E203" s="15"/>
    </row>
    <row r="204" spans="5:5" ht="12.75" x14ac:dyDescent="0.2">
      <c r="E204" s="15"/>
    </row>
    <row r="205" spans="5:5" ht="12.75" x14ac:dyDescent="0.2">
      <c r="E205" s="15"/>
    </row>
    <row r="206" spans="5:5" ht="12.75" x14ac:dyDescent="0.2">
      <c r="E206" s="15"/>
    </row>
    <row r="207" spans="5:5" ht="12.75" x14ac:dyDescent="0.2">
      <c r="E207" s="15"/>
    </row>
    <row r="208" spans="5:5" ht="12.75" x14ac:dyDescent="0.2">
      <c r="E208" s="15"/>
    </row>
    <row r="209" spans="5:5" ht="12.75" x14ac:dyDescent="0.2">
      <c r="E209" s="15"/>
    </row>
    <row r="210" spans="5:5" ht="12.75" x14ac:dyDescent="0.2">
      <c r="E210" s="15"/>
    </row>
    <row r="211" spans="5:5" ht="12.75" x14ac:dyDescent="0.2">
      <c r="E211" s="15"/>
    </row>
    <row r="212" spans="5:5" ht="12.75" x14ac:dyDescent="0.2">
      <c r="E212" s="15"/>
    </row>
    <row r="213" spans="5:5" ht="12.75" x14ac:dyDescent="0.2">
      <c r="E213" s="15"/>
    </row>
    <row r="214" spans="5:5" ht="12.75" x14ac:dyDescent="0.2">
      <c r="E214" s="15"/>
    </row>
    <row r="215" spans="5:5" ht="12.75" x14ac:dyDescent="0.2">
      <c r="E215" s="15"/>
    </row>
    <row r="216" spans="5:5" ht="12.75" x14ac:dyDescent="0.2">
      <c r="E216" s="15"/>
    </row>
    <row r="217" spans="5:5" ht="12.75" x14ac:dyDescent="0.2">
      <c r="E217" s="15"/>
    </row>
    <row r="218" spans="5:5" ht="12.75" x14ac:dyDescent="0.2">
      <c r="E218" s="15"/>
    </row>
    <row r="219" spans="5:5" ht="12.75" x14ac:dyDescent="0.2">
      <c r="E219" s="15"/>
    </row>
    <row r="220" spans="5:5" ht="12.75" x14ac:dyDescent="0.2">
      <c r="E220" s="15"/>
    </row>
    <row r="221" spans="5:5" ht="12.75" x14ac:dyDescent="0.2">
      <c r="E221" s="15"/>
    </row>
    <row r="222" spans="5:5" ht="12.75" x14ac:dyDescent="0.2">
      <c r="E222" s="15"/>
    </row>
    <row r="223" spans="5:5" ht="12.75" x14ac:dyDescent="0.2">
      <c r="E223" s="15"/>
    </row>
    <row r="224" spans="5:5" ht="12.75" x14ac:dyDescent="0.2">
      <c r="E224" s="15"/>
    </row>
    <row r="225" spans="5:5" ht="12.75" x14ac:dyDescent="0.2">
      <c r="E225" s="15"/>
    </row>
    <row r="226" spans="5:5" ht="12.75" x14ac:dyDescent="0.2">
      <c r="E226" s="15"/>
    </row>
    <row r="227" spans="5:5" ht="12.75" x14ac:dyDescent="0.2">
      <c r="E227" s="15"/>
    </row>
    <row r="228" spans="5:5" ht="12.75" x14ac:dyDescent="0.2">
      <c r="E228" s="15"/>
    </row>
    <row r="229" spans="5:5" ht="12.75" x14ac:dyDescent="0.2">
      <c r="E229" s="15"/>
    </row>
    <row r="230" spans="5:5" ht="12.75" x14ac:dyDescent="0.2">
      <c r="E230" s="15"/>
    </row>
    <row r="231" spans="5:5" ht="12.75" x14ac:dyDescent="0.2">
      <c r="E231" s="15"/>
    </row>
    <row r="232" spans="5:5" ht="12.75" x14ac:dyDescent="0.2">
      <c r="E232" s="15"/>
    </row>
    <row r="233" spans="5:5" ht="12.75" x14ac:dyDescent="0.2">
      <c r="E233" s="15"/>
    </row>
    <row r="234" spans="5:5" ht="12.75" x14ac:dyDescent="0.2">
      <c r="E234" s="15"/>
    </row>
    <row r="235" spans="5:5" ht="12.75" x14ac:dyDescent="0.2">
      <c r="E235" s="15"/>
    </row>
    <row r="236" spans="5:5" ht="12.75" x14ac:dyDescent="0.2">
      <c r="E236" s="15"/>
    </row>
    <row r="237" spans="5:5" ht="12.75" x14ac:dyDescent="0.2">
      <c r="E237" s="15"/>
    </row>
    <row r="238" spans="5:5" ht="12.75" x14ac:dyDescent="0.2">
      <c r="E238" s="15"/>
    </row>
    <row r="239" spans="5:5" ht="12.75" x14ac:dyDescent="0.2">
      <c r="E239" s="15"/>
    </row>
    <row r="240" spans="5:5" ht="12.75" x14ac:dyDescent="0.2">
      <c r="E240" s="15"/>
    </row>
    <row r="241" spans="5:5" ht="12.75" x14ac:dyDescent="0.2">
      <c r="E241" s="15"/>
    </row>
    <row r="242" spans="5:5" ht="12.75" x14ac:dyDescent="0.2">
      <c r="E242" s="15"/>
    </row>
    <row r="243" spans="5:5" ht="12.75" x14ac:dyDescent="0.2">
      <c r="E243" s="15"/>
    </row>
    <row r="244" spans="5:5" ht="12.75" x14ac:dyDescent="0.2">
      <c r="E244" s="15"/>
    </row>
    <row r="245" spans="5:5" ht="12.75" x14ac:dyDescent="0.2">
      <c r="E245" s="15"/>
    </row>
    <row r="246" spans="5:5" ht="12.75" x14ac:dyDescent="0.2">
      <c r="E246" s="15"/>
    </row>
    <row r="247" spans="5:5" ht="12.75" x14ac:dyDescent="0.2">
      <c r="E247" s="15"/>
    </row>
    <row r="248" spans="5:5" ht="12.75" x14ac:dyDescent="0.2">
      <c r="E248" s="15"/>
    </row>
    <row r="249" spans="5:5" ht="12.75" x14ac:dyDescent="0.2">
      <c r="E249" s="15"/>
    </row>
    <row r="250" spans="5:5" ht="12.75" x14ac:dyDescent="0.2">
      <c r="E250" s="15"/>
    </row>
    <row r="251" spans="5:5" ht="12.75" x14ac:dyDescent="0.2">
      <c r="E251" s="15"/>
    </row>
    <row r="252" spans="5:5" ht="12.75" x14ac:dyDescent="0.2">
      <c r="E252" s="15"/>
    </row>
    <row r="253" spans="5:5" ht="12.75" x14ac:dyDescent="0.2">
      <c r="E253" s="15"/>
    </row>
    <row r="254" spans="5:5" ht="12.75" x14ac:dyDescent="0.2">
      <c r="E254" s="15"/>
    </row>
    <row r="255" spans="5:5" ht="12.75" x14ac:dyDescent="0.2">
      <c r="E255" s="15"/>
    </row>
    <row r="256" spans="5:5" ht="12.75" x14ac:dyDescent="0.2">
      <c r="E256" s="15"/>
    </row>
    <row r="257" spans="5:5" ht="12.75" x14ac:dyDescent="0.2">
      <c r="E257" s="15"/>
    </row>
    <row r="258" spans="5:5" ht="12.75" x14ac:dyDescent="0.2">
      <c r="E258" s="15"/>
    </row>
    <row r="259" spans="5:5" ht="12.75" x14ac:dyDescent="0.2">
      <c r="E259" s="15"/>
    </row>
    <row r="260" spans="5:5" ht="12.75" x14ac:dyDescent="0.2">
      <c r="E260" s="15"/>
    </row>
    <row r="261" spans="5:5" ht="12.75" x14ac:dyDescent="0.2">
      <c r="E261" s="15"/>
    </row>
    <row r="262" spans="5:5" ht="12.75" x14ac:dyDescent="0.2">
      <c r="E262" s="15"/>
    </row>
    <row r="263" spans="5:5" ht="12.75" x14ac:dyDescent="0.2">
      <c r="E263" s="15"/>
    </row>
    <row r="264" spans="5:5" ht="12.75" x14ac:dyDescent="0.2">
      <c r="E264" s="15"/>
    </row>
    <row r="265" spans="5:5" ht="12.75" x14ac:dyDescent="0.2">
      <c r="E265" s="15"/>
    </row>
    <row r="266" spans="5:5" ht="12.75" x14ac:dyDescent="0.2">
      <c r="E266" s="15"/>
    </row>
    <row r="267" spans="5:5" ht="12.75" x14ac:dyDescent="0.2">
      <c r="E267" s="15"/>
    </row>
    <row r="268" spans="5:5" ht="12.75" x14ac:dyDescent="0.2">
      <c r="E268" s="15"/>
    </row>
    <row r="269" spans="5:5" ht="12.75" x14ac:dyDescent="0.2">
      <c r="E269" s="15"/>
    </row>
    <row r="270" spans="5:5" ht="12.75" x14ac:dyDescent="0.2">
      <c r="E270" s="15"/>
    </row>
    <row r="271" spans="5:5" ht="12.75" x14ac:dyDescent="0.2">
      <c r="E271" s="15"/>
    </row>
    <row r="272" spans="5:5" ht="12.75" x14ac:dyDescent="0.2">
      <c r="E272" s="15"/>
    </row>
    <row r="273" spans="5:5" ht="12.75" x14ac:dyDescent="0.2">
      <c r="E273" s="15"/>
    </row>
    <row r="274" spans="5:5" ht="12.75" x14ac:dyDescent="0.2">
      <c r="E274" s="15"/>
    </row>
    <row r="275" spans="5:5" ht="12.75" x14ac:dyDescent="0.2">
      <c r="E275" s="15"/>
    </row>
    <row r="276" spans="5:5" ht="12.75" x14ac:dyDescent="0.2">
      <c r="E276" s="15"/>
    </row>
    <row r="277" spans="5:5" ht="12.75" x14ac:dyDescent="0.2">
      <c r="E277" s="15"/>
    </row>
    <row r="278" spans="5:5" ht="12.75" x14ac:dyDescent="0.2">
      <c r="E278" s="15"/>
    </row>
    <row r="279" spans="5:5" ht="12.75" x14ac:dyDescent="0.2">
      <c r="E279" s="15"/>
    </row>
    <row r="280" spans="5:5" ht="12.75" x14ac:dyDescent="0.2">
      <c r="E280" s="15"/>
    </row>
    <row r="281" spans="5:5" ht="12.75" x14ac:dyDescent="0.2">
      <c r="E281" s="15"/>
    </row>
    <row r="282" spans="5:5" ht="12.75" x14ac:dyDescent="0.2">
      <c r="E282" s="15"/>
    </row>
    <row r="283" spans="5:5" ht="12.75" x14ac:dyDescent="0.2">
      <c r="E283" s="15"/>
    </row>
    <row r="284" spans="5:5" ht="12.75" x14ac:dyDescent="0.2">
      <c r="E284" s="15"/>
    </row>
    <row r="285" spans="5:5" ht="12.75" x14ac:dyDescent="0.2">
      <c r="E285" s="15"/>
    </row>
    <row r="286" spans="5:5" ht="12.75" x14ac:dyDescent="0.2">
      <c r="E286" s="15"/>
    </row>
    <row r="287" spans="5:5" ht="12.75" x14ac:dyDescent="0.2">
      <c r="E287" s="15"/>
    </row>
    <row r="288" spans="5:5" ht="12.75" x14ac:dyDescent="0.2">
      <c r="E288" s="15"/>
    </row>
    <row r="289" spans="5:5" ht="12.75" x14ac:dyDescent="0.2">
      <c r="E289" s="15"/>
    </row>
    <row r="290" spans="5:5" ht="12.75" x14ac:dyDescent="0.2">
      <c r="E290" s="15"/>
    </row>
    <row r="291" spans="5:5" ht="12.75" x14ac:dyDescent="0.2">
      <c r="E291" s="15"/>
    </row>
    <row r="292" spans="5:5" ht="12.75" x14ac:dyDescent="0.2">
      <c r="E292" s="15"/>
    </row>
    <row r="293" spans="5:5" ht="12.75" x14ac:dyDescent="0.2">
      <c r="E293" s="15"/>
    </row>
    <row r="294" spans="5:5" ht="12.75" x14ac:dyDescent="0.2">
      <c r="E294" s="15"/>
    </row>
    <row r="295" spans="5:5" ht="12.75" x14ac:dyDescent="0.2">
      <c r="E295" s="15"/>
    </row>
    <row r="296" spans="5:5" ht="12.75" x14ac:dyDescent="0.2">
      <c r="E296" s="15"/>
    </row>
    <row r="297" spans="5:5" ht="12.75" x14ac:dyDescent="0.2">
      <c r="E297" s="15"/>
    </row>
    <row r="298" spans="5:5" ht="12.75" x14ac:dyDescent="0.2">
      <c r="E298" s="15"/>
    </row>
    <row r="299" spans="5:5" ht="12.75" x14ac:dyDescent="0.2">
      <c r="E299" s="15"/>
    </row>
    <row r="300" spans="5:5" ht="12.75" x14ac:dyDescent="0.2">
      <c r="E300" s="15"/>
    </row>
    <row r="301" spans="5:5" ht="12.75" x14ac:dyDescent="0.2">
      <c r="E301" s="15"/>
    </row>
    <row r="302" spans="5:5" ht="12.75" x14ac:dyDescent="0.2">
      <c r="E302" s="15"/>
    </row>
    <row r="303" spans="5:5" ht="12.75" x14ac:dyDescent="0.2">
      <c r="E303" s="15"/>
    </row>
    <row r="304" spans="5:5" ht="12.75" x14ac:dyDescent="0.2">
      <c r="E304" s="15"/>
    </row>
    <row r="305" spans="5:5" ht="12.75" x14ac:dyDescent="0.2">
      <c r="E305" s="15"/>
    </row>
    <row r="306" spans="5:5" ht="12.75" x14ac:dyDescent="0.2">
      <c r="E306" s="15"/>
    </row>
    <row r="307" spans="5:5" ht="12.75" x14ac:dyDescent="0.2">
      <c r="E307" s="15"/>
    </row>
    <row r="308" spans="5:5" ht="12.75" x14ac:dyDescent="0.2">
      <c r="E308" s="15"/>
    </row>
    <row r="309" spans="5:5" ht="12.75" x14ac:dyDescent="0.2">
      <c r="E309" s="15"/>
    </row>
    <row r="310" spans="5:5" ht="12.75" x14ac:dyDescent="0.2">
      <c r="E310" s="15"/>
    </row>
    <row r="311" spans="5:5" ht="12.75" x14ac:dyDescent="0.2">
      <c r="E311" s="15"/>
    </row>
    <row r="312" spans="5:5" ht="12.75" x14ac:dyDescent="0.2">
      <c r="E312" s="15"/>
    </row>
    <row r="313" spans="5:5" ht="12.75" x14ac:dyDescent="0.2">
      <c r="E313" s="15"/>
    </row>
    <row r="314" spans="5:5" ht="12.75" x14ac:dyDescent="0.2">
      <c r="E314" s="15"/>
    </row>
    <row r="315" spans="5:5" ht="12.75" x14ac:dyDescent="0.2">
      <c r="E315" s="15"/>
    </row>
    <row r="316" spans="5:5" ht="12.75" x14ac:dyDescent="0.2">
      <c r="E316" s="15"/>
    </row>
    <row r="317" spans="5:5" ht="12.75" x14ac:dyDescent="0.2">
      <c r="E317" s="15"/>
    </row>
    <row r="318" spans="5:5" ht="12.75" x14ac:dyDescent="0.2">
      <c r="E318" s="15"/>
    </row>
    <row r="319" spans="5:5" ht="12.75" x14ac:dyDescent="0.2">
      <c r="E319" s="15"/>
    </row>
    <row r="320" spans="5:5" ht="12.75" x14ac:dyDescent="0.2">
      <c r="E320" s="15"/>
    </row>
    <row r="321" spans="5:5" ht="12.75" x14ac:dyDescent="0.2">
      <c r="E321" s="15"/>
    </row>
    <row r="322" spans="5:5" ht="12.75" x14ac:dyDescent="0.2">
      <c r="E322" s="15"/>
    </row>
    <row r="323" spans="5:5" ht="12.75" x14ac:dyDescent="0.2">
      <c r="E323" s="15"/>
    </row>
    <row r="324" spans="5:5" ht="12.75" x14ac:dyDescent="0.2">
      <c r="E324" s="15"/>
    </row>
    <row r="325" spans="5:5" ht="12.75" x14ac:dyDescent="0.2">
      <c r="E325" s="15"/>
    </row>
    <row r="326" spans="5:5" ht="12.75" x14ac:dyDescent="0.2">
      <c r="E326" s="15"/>
    </row>
    <row r="327" spans="5:5" ht="12.75" x14ac:dyDescent="0.2">
      <c r="E327" s="15"/>
    </row>
    <row r="328" spans="5:5" ht="12.75" x14ac:dyDescent="0.2">
      <c r="E328" s="15"/>
    </row>
    <row r="329" spans="5:5" ht="12.75" x14ac:dyDescent="0.2">
      <c r="E329" s="15"/>
    </row>
    <row r="330" spans="5:5" ht="12.75" x14ac:dyDescent="0.2">
      <c r="E330" s="15"/>
    </row>
    <row r="331" spans="5:5" ht="12.75" x14ac:dyDescent="0.2">
      <c r="E331" s="15"/>
    </row>
    <row r="332" spans="5:5" ht="12.75" x14ac:dyDescent="0.2">
      <c r="E332" s="15"/>
    </row>
    <row r="333" spans="5:5" ht="12.75" x14ac:dyDescent="0.2">
      <c r="E333" s="15"/>
    </row>
    <row r="334" spans="5:5" ht="12.75" x14ac:dyDescent="0.2">
      <c r="E334" s="15"/>
    </row>
    <row r="335" spans="5:5" ht="12.75" x14ac:dyDescent="0.2">
      <c r="E335" s="15"/>
    </row>
    <row r="336" spans="5:5" ht="12.75" x14ac:dyDescent="0.2">
      <c r="E336" s="15"/>
    </row>
    <row r="337" spans="5:5" ht="12.75" x14ac:dyDescent="0.2">
      <c r="E337" s="15"/>
    </row>
    <row r="338" spans="5:5" ht="12.75" x14ac:dyDescent="0.2">
      <c r="E338" s="15"/>
    </row>
    <row r="339" spans="5:5" ht="12.75" x14ac:dyDescent="0.2">
      <c r="E339" s="15"/>
    </row>
    <row r="340" spans="5:5" ht="12.75" x14ac:dyDescent="0.2">
      <c r="E340" s="15"/>
    </row>
    <row r="341" spans="5:5" ht="12.75" x14ac:dyDescent="0.2">
      <c r="E341" s="15"/>
    </row>
    <row r="342" spans="5:5" ht="12.75" x14ac:dyDescent="0.2">
      <c r="E342" s="15"/>
    </row>
    <row r="343" spans="5:5" ht="12.75" x14ac:dyDescent="0.2">
      <c r="E343" s="15"/>
    </row>
    <row r="344" spans="5:5" ht="12.75" x14ac:dyDescent="0.2">
      <c r="E344" s="15"/>
    </row>
    <row r="345" spans="5:5" ht="12.75" x14ac:dyDescent="0.2">
      <c r="E345" s="15"/>
    </row>
    <row r="346" spans="5:5" ht="12.75" x14ac:dyDescent="0.2">
      <c r="E346" s="15"/>
    </row>
    <row r="347" spans="5:5" ht="12.75" x14ac:dyDescent="0.2">
      <c r="E347" s="15"/>
    </row>
    <row r="348" spans="5:5" ht="12.75" x14ac:dyDescent="0.2">
      <c r="E348" s="15"/>
    </row>
    <row r="349" spans="5:5" ht="12.75" x14ac:dyDescent="0.2">
      <c r="E349" s="15"/>
    </row>
    <row r="350" spans="5:5" ht="12.75" x14ac:dyDescent="0.2">
      <c r="E350" s="15"/>
    </row>
    <row r="351" spans="5:5" ht="12.75" x14ac:dyDescent="0.2">
      <c r="E351" s="15"/>
    </row>
    <row r="352" spans="5:5" ht="12.75" x14ac:dyDescent="0.2">
      <c r="E352" s="15"/>
    </row>
    <row r="353" spans="5:5" ht="12.75" x14ac:dyDescent="0.2">
      <c r="E353" s="15"/>
    </row>
    <row r="354" spans="5:5" ht="12.75" x14ac:dyDescent="0.2">
      <c r="E354" s="15"/>
    </row>
    <row r="355" spans="5:5" ht="12.75" x14ac:dyDescent="0.2">
      <c r="E355" s="15"/>
    </row>
    <row r="356" spans="5:5" ht="12.75" x14ac:dyDescent="0.2">
      <c r="E356" s="15"/>
    </row>
    <row r="357" spans="5:5" ht="12.75" x14ac:dyDescent="0.2">
      <c r="E357" s="15"/>
    </row>
    <row r="358" spans="5:5" ht="12.75" x14ac:dyDescent="0.2">
      <c r="E358" s="15"/>
    </row>
    <row r="359" spans="5:5" ht="12.75" x14ac:dyDescent="0.2">
      <c r="E359" s="15"/>
    </row>
    <row r="360" spans="5:5" ht="12.75" x14ac:dyDescent="0.2">
      <c r="E360" s="15"/>
    </row>
    <row r="361" spans="5:5" ht="12.75" x14ac:dyDescent="0.2">
      <c r="E361" s="15"/>
    </row>
    <row r="362" spans="5:5" ht="12.75" x14ac:dyDescent="0.2">
      <c r="E362" s="15"/>
    </row>
    <row r="363" spans="5:5" ht="12.75" x14ac:dyDescent="0.2">
      <c r="E363" s="15"/>
    </row>
    <row r="364" spans="5:5" ht="12.75" x14ac:dyDescent="0.2">
      <c r="E364" s="15"/>
    </row>
    <row r="365" spans="5:5" ht="12.75" x14ac:dyDescent="0.2">
      <c r="E365" s="15"/>
    </row>
    <row r="366" spans="5:5" ht="12.75" x14ac:dyDescent="0.2">
      <c r="E366" s="15"/>
    </row>
    <row r="367" spans="5:5" ht="12.75" x14ac:dyDescent="0.2">
      <c r="E367" s="15"/>
    </row>
    <row r="368" spans="5:5" ht="12.75" x14ac:dyDescent="0.2">
      <c r="E368" s="15"/>
    </row>
    <row r="369" spans="5:5" ht="12.75" x14ac:dyDescent="0.2">
      <c r="E369" s="15"/>
    </row>
    <row r="370" spans="5:5" ht="12.75" x14ac:dyDescent="0.2">
      <c r="E370" s="15"/>
    </row>
    <row r="371" spans="5:5" ht="12.75" x14ac:dyDescent="0.2">
      <c r="E371" s="15"/>
    </row>
    <row r="372" spans="5:5" ht="12.75" x14ac:dyDescent="0.2">
      <c r="E372" s="15"/>
    </row>
    <row r="373" spans="5:5" ht="12.75" x14ac:dyDescent="0.2">
      <c r="E373" s="15"/>
    </row>
    <row r="374" spans="5:5" ht="12.75" x14ac:dyDescent="0.2">
      <c r="E374" s="15"/>
    </row>
    <row r="375" spans="5:5" ht="12.75" x14ac:dyDescent="0.2">
      <c r="E375" s="15"/>
    </row>
    <row r="376" spans="5:5" ht="12.75" x14ac:dyDescent="0.2">
      <c r="E376" s="15"/>
    </row>
    <row r="377" spans="5:5" ht="12.75" x14ac:dyDescent="0.2">
      <c r="E377" s="15"/>
    </row>
    <row r="378" spans="5:5" ht="12.75" x14ac:dyDescent="0.2">
      <c r="E378" s="15"/>
    </row>
    <row r="379" spans="5:5" ht="12.75" x14ac:dyDescent="0.2">
      <c r="E379" s="15"/>
    </row>
    <row r="380" spans="5:5" ht="12.75" x14ac:dyDescent="0.2">
      <c r="E380" s="15"/>
    </row>
    <row r="381" spans="5:5" ht="12.75" x14ac:dyDescent="0.2">
      <c r="E381" s="15"/>
    </row>
    <row r="382" spans="5:5" ht="12.75" x14ac:dyDescent="0.2">
      <c r="E382" s="15"/>
    </row>
    <row r="383" spans="5:5" ht="12.75" x14ac:dyDescent="0.2">
      <c r="E383" s="15"/>
    </row>
    <row r="384" spans="5:5" ht="12.75" x14ac:dyDescent="0.2">
      <c r="E384" s="15"/>
    </row>
    <row r="385" spans="5:5" ht="12.75" x14ac:dyDescent="0.2">
      <c r="E385" s="15"/>
    </row>
    <row r="386" spans="5:5" ht="12.75" x14ac:dyDescent="0.2">
      <c r="E386" s="15"/>
    </row>
    <row r="387" spans="5:5" ht="12.75" x14ac:dyDescent="0.2">
      <c r="E387" s="15"/>
    </row>
    <row r="388" spans="5:5" ht="12.75" x14ac:dyDescent="0.2">
      <c r="E388" s="15"/>
    </row>
    <row r="389" spans="5:5" ht="12.75" x14ac:dyDescent="0.2">
      <c r="E389" s="15"/>
    </row>
    <row r="390" spans="5:5" ht="12.75" x14ac:dyDescent="0.2">
      <c r="E390" s="15"/>
    </row>
    <row r="391" spans="5:5" ht="12.75" x14ac:dyDescent="0.2">
      <c r="E391" s="15"/>
    </row>
    <row r="392" spans="5:5" ht="12.75" x14ac:dyDescent="0.2">
      <c r="E392" s="15"/>
    </row>
    <row r="393" spans="5:5" ht="12.75" x14ac:dyDescent="0.2">
      <c r="E393" s="15"/>
    </row>
    <row r="394" spans="5:5" ht="12.75" x14ac:dyDescent="0.2">
      <c r="E394" s="15"/>
    </row>
    <row r="395" spans="5:5" ht="12.75" x14ac:dyDescent="0.2">
      <c r="E395" s="15"/>
    </row>
    <row r="396" spans="5:5" ht="12.75" x14ac:dyDescent="0.2">
      <c r="E396" s="15"/>
    </row>
    <row r="397" spans="5:5" ht="12.75" x14ac:dyDescent="0.2">
      <c r="E397" s="15"/>
    </row>
    <row r="398" spans="5:5" ht="12.75" x14ac:dyDescent="0.2">
      <c r="E398" s="15"/>
    </row>
    <row r="399" spans="5:5" ht="12.75" x14ac:dyDescent="0.2">
      <c r="E399" s="15"/>
    </row>
    <row r="400" spans="5:5" ht="12.75" x14ac:dyDescent="0.2">
      <c r="E400" s="15"/>
    </row>
    <row r="401" spans="5:5" ht="12.75" x14ac:dyDescent="0.2">
      <c r="E401" s="15"/>
    </row>
    <row r="402" spans="5:5" ht="12.75" x14ac:dyDescent="0.2">
      <c r="E402" s="15"/>
    </row>
    <row r="403" spans="5:5" ht="12.75" x14ac:dyDescent="0.2">
      <c r="E403" s="15"/>
    </row>
    <row r="404" spans="5:5" ht="12.75" x14ac:dyDescent="0.2">
      <c r="E404" s="15"/>
    </row>
    <row r="405" spans="5:5" ht="12.75" x14ac:dyDescent="0.2">
      <c r="E405" s="15"/>
    </row>
    <row r="406" spans="5:5" ht="12.75" x14ac:dyDescent="0.2">
      <c r="E406" s="15"/>
    </row>
    <row r="407" spans="5:5" ht="12.75" x14ac:dyDescent="0.2">
      <c r="E407" s="15"/>
    </row>
    <row r="408" spans="5:5" ht="12.75" x14ac:dyDescent="0.2">
      <c r="E408" s="15"/>
    </row>
    <row r="409" spans="5:5" ht="12.75" x14ac:dyDescent="0.2">
      <c r="E409" s="15"/>
    </row>
    <row r="410" spans="5:5" ht="12.75" x14ac:dyDescent="0.2">
      <c r="E410" s="15"/>
    </row>
    <row r="411" spans="5:5" ht="12.75" x14ac:dyDescent="0.2">
      <c r="E411" s="15"/>
    </row>
    <row r="412" spans="5:5" ht="12.75" x14ac:dyDescent="0.2">
      <c r="E412" s="15"/>
    </row>
    <row r="413" spans="5:5" ht="12.75" x14ac:dyDescent="0.2">
      <c r="E413" s="15"/>
    </row>
    <row r="414" spans="5:5" ht="12.75" x14ac:dyDescent="0.2">
      <c r="E414" s="15"/>
    </row>
    <row r="415" spans="5:5" ht="12.75" x14ac:dyDescent="0.2">
      <c r="E415" s="15"/>
    </row>
    <row r="416" spans="5:5" ht="12.75" x14ac:dyDescent="0.2">
      <c r="E416" s="15"/>
    </row>
    <row r="417" spans="5:5" ht="12.75" x14ac:dyDescent="0.2">
      <c r="E417" s="15"/>
    </row>
    <row r="418" spans="5:5" ht="12.75" x14ac:dyDescent="0.2">
      <c r="E418" s="15"/>
    </row>
    <row r="419" spans="5:5" ht="12.75" x14ac:dyDescent="0.2">
      <c r="E419" s="15"/>
    </row>
    <row r="420" spans="5:5" ht="12.75" x14ac:dyDescent="0.2">
      <c r="E420" s="15"/>
    </row>
    <row r="421" spans="5:5" ht="12.75" x14ac:dyDescent="0.2">
      <c r="E421" s="15"/>
    </row>
    <row r="422" spans="5:5" ht="12.75" x14ac:dyDescent="0.2">
      <c r="E422" s="15"/>
    </row>
    <row r="423" spans="5:5" ht="12.75" x14ac:dyDescent="0.2">
      <c r="E423" s="15"/>
    </row>
    <row r="424" spans="5:5" ht="12.75" x14ac:dyDescent="0.2">
      <c r="E424" s="15"/>
    </row>
    <row r="425" spans="5:5" ht="12.75" x14ac:dyDescent="0.2">
      <c r="E425" s="15"/>
    </row>
    <row r="426" spans="5:5" ht="12.75" x14ac:dyDescent="0.2">
      <c r="E426" s="15"/>
    </row>
    <row r="427" spans="5:5" ht="12.75" x14ac:dyDescent="0.2">
      <c r="E427" s="15"/>
    </row>
    <row r="428" spans="5:5" ht="12.75" x14ac:dyDescent="0.2">
      <c r="E428" s="15"/>
    </row>
    <row r="429" spans="5:5" ht="12.75" x14ac:dyDescent="0.2">
      <c r="E429" s="15"/>
    </row>
    <row r="430" spans="5:5" ht="12.75" x14ac:dyDescent="0.2">
      <c r="E430" s="15"/>
    </row>
    <row r="431" spans="5:5" ht="12.75" x14ac:dyDescent="0.2">
      <c r="E431" s="15"/>
    </row>
    <row r="432" spans="5:5" ht="12.75" x14ac:dyDescent="0.2">
      <c r="E432" s="15"/>
    </row>
    <row r="433" spans="5:5" ht="12.75" x14ac:dyDescent="0.2">
      <c r="E433" s="15"/>
    </row>
    <row r="434" spans="5:5" ht="12.75" x14ac:dyDescent="0.2">
      <c r="E434" s="15"/>
    </row>
    <row r="435" spans="5:5" ht="12.75" x14ac:dyDescent="0.2">
      <c r="E435" s="15"/>
    </row>
    <row r="436" spans="5:5" ht="12.75" x14ac:dyDescent="0.2">
      <c r="E436" s="15"/>
    </row>
    <row r="437" spans="5:5" ht="12.75" x14ac:dyDescent="0.2">
      <c r="E437" s="15"/>
    </row>
    <row r="438" spans="5:5" ht="12.75" x14ac:dyDescent="0.2">
      <c r="E438" s="15"/>
    </row>
    <row r="439" spans="5:5" ht="12.75" x14ac:dyDescent="0.2">
      <c r="E439" s="15"/>
    </row>
    <row r="440" spans="5:5" ht="12.75" x14ac:dyDescent="0.2">
      <c r="E440" s="15"/>
    </row>
    <row r="441" spans="5:5" ht="12.75" x14ac:dyDescent="0.2">
      <c r="E441" s="15"/>
    </row>
    <row r="442" spans="5:5" ht="12.75" x14ac:dyDescent="0.2">
      <c r="E442" s="15"/>
    </row>
    <row r="443" spans="5:5" ht="12.75" x14ac:dyDescent="0.2">
      <c r="E443" s="15"/>
    </row>
    <row r="444" spans="5:5" ht="12.75" x14ac:dyDescent="0.2">
      <c r="E444" s="15"/>
    </row>
    <row r="445" spans="5:5" ht="12.75" x14ac:dyDescent="0.2">
      <c r="E445" s="15"/>
    </row>
    <row r="446" spans="5:5" ht="12.75" x14ac:dyDescent="0.2">
      <c r="E446" s="15"/>
    </row>
    <row r="447" spans="5:5" ht="12.75" x14ac:dyDescent="0.2">
      <c r="E447" s="15"/>
    </row>
    <row r="448" spans="5:5" ht="12.75" x14ac:dyDescent="0.2">
      <c r="E448" s="15"/>
    </row>
    <row r="449" spans="5:5" ht="12.75" x14ac:dyDescent="0.2">
      <c r="E449" s="15"/>
    </row>
    <row r="450" spans="5:5" ht="12.75" x14ac:dyDescent="0.2">
      <c r="E450" s="15"/>
    </row>
    <row r="451" spans="5:5" ht="12.75" x14ac:dyDescent="0.2">
      <c r="E451" s="15"/>
    </row>
    <row r="452" spans="5:5" ht="12.75" x14ac:dyDescent="0.2">
      <c r="E452" s="15"/>
    </row>
    <row r="453" spans="5:5" ht="12.75" x14ac:dyDescent="0.2">
      <c r="E453" s="15"/>
    </row>
    <row r="454" spans="5:5" ht="12.75" x14ac:dyDescent="0.2">
      <c r="E454" s="15"/>
    </row>
    <row r="455" spans="5:5" ht="12.75" x14ac:dyDescent="0.2">
      <c r="E455" s="15"/>
    </row>
    <row r="456" spans="5:5" ht="12.75" x14ac:dyDescent="0.2">
      <c r="E456" s="15"/>
    </row>
    <row r="457" spans="5:5" ht="12.75" x14ac:dyDescent="0.2">
      <c r="E457" s="15"/>
    </row>
    <row r="458" spans="5:5" ht="12.75" x14ac:dyDescent="0.2">
      <c r="E458" s="15"/>
    </row>
    <row r="459" spans="5:5" ht="12.75" x14ac:dyDescent="0.2">
      <c r="E459" s="15"/>
    </row>
    <row r="460" spans="5:5" ht="12.75" x14ac:dyDescent="0.2">
      <c r="E460" s="15"/>
    </row>
    <row r="461" spans="5:5" ht="12.75" x14ac:dyDescent="0.2">
      <c r="E461" s="15"/>
    </row>
    <row r="462" spans="5:5" ht="12.75" x14ac:dyDescent="0.2">
      <c r="E462" s="15"/>
    </row>
    <row r="463" spans="5:5" ht="12.75" x14ac:dyDescent="0.2">
      <c r="E463" s="15"/>
    </row>
    <row r="464" spans="5:5" ht="12.75" x14ac:dyDescent="0.2">
      <c r="E464" s="15"/>
    </row>
    <row r="465" spans="5:5" ht="12.75" x14ac:dyDescent="0.2">
      <c r="E465" s="15"/>
    </row>
    <row r="466" spans="5:5" ht="12.75" x14ac:dyDescent="0.2">
      <c r="E466" s="15"/>
    </row>
    <row r="467" spans="5:5" ht="12.75" x14ac:dyDescent="0.2">
      <c r="E467" s="15"/>
    </row>
    <row r="468" spans="5:5" ht="12.75" x14ac:dyDescent="0.2">
      <c r="E468" s="15"/>
    </row>
    <row r="469" spans="5:5" ht="12.75" x14ac:dyDescent="0.2">
      <c r="E469" s="15"/>
    </row>
    <row r="470" spans="5:5" ht="12.75" x14ac:dyDescent="0.2">
      <c r="E470" s="15"/>
    </row>
    <row r="471" spans="5:5" ht="12.75" x14ac:dyDescent="0.2">
      <c r="E471" s="15"/>
    </row>
    <row r="472" spans="5:5" ht="12.75" x14ac:dyDescent="0.2">
      <c r="E472" s="15"/>
    </row>
    <row r="473" spans="5:5" ht="12.75" x14ac:dyDescent="0.2">
      <c r="E473" s="15"/>
    </row>
    <row r="474" spans="5:5" ht="12.75" x14ac:dyDescent="0.2">
      <c r="E474" s="15"/>
    </row>
    <row r="475" spans="5:5" ht="12.75" x14ac:dyDescent="0.2">
      <c r="E475" s="15"/>
    </row>
    <row r="476" spans="5:5" ht="12.75" x14ac:dyDescent="0.2">
      <c r="E476" s="15"/>
    </row>
    <row r="477" spans="5:5" ht="12.75" x14ac:dyDescent="0.2">
      <c r="E477" s="15"/>
    </row>
    <row r="478" spans="5:5" ht="12.75" x14ac:dyDescent="0.2">
      <c r="E478" s="15"/>
    </row>
    <row r="479" spans="5:5" ht="12.75" x14ac:dyDescent="0.2">
      <c r="E479" s="15"/>
    </row>
    <row r="480" spans="5:5" ht="12.75" x14ac:dyDescent="0.2">
      <c r="E480" s="15"/>
    </row>
    <row r="481" spans="5:5" ht="12.75" x14ac:dyDescent="0.2">
      <c r="E481" s="15"/>
    </row>
    <row r="482" spans="5:5" ht="12.75" x14ac:dyDescent="0.2">
      <c r="E482" s="15"/>
    </row>
    <row r="483" spans="5:5" ht="12.75" x14ac:dyDescent="0.2">
      <c r="E483" s="15"/>
    </row>
    <row r="484" spans="5:5" ht="12.75" x14ac:dyDescent="0.2">
      <c r="E484" s="15"/>
    </row>
    <row r="485" spans="5:5" ht="12.75" x14ac:dyDescent="0.2">
      <c r="E485" s="15"/>
    </row>
    <row r="486" spans="5:5" ht="12.75" x14ac:dyDescent="0.2">
      <c r="E486" s="15"/>
    </row>
    <row r="487" spans="5:5" ht="12.75" x14ac:dyDescent="0.2">
      <c r="E487" s="15"/>
    </row>
    <row r="488" spans="5:5" ht="12.75" x14ac:dyDescent="0.2">
      <c r="E488" s="15"/>
    </row>
    <row r="489" spans="5:5" ht="12.75" x14ac:dyDescent="0.2">
      <c r="E489" s="15"/>
    </row>
    <row r="490" spans="5:5" ht="12.75" x14ac:dyDescent="0.2">
      <c r="E490" s="15"/>
    </row>
    <row r="491" spans="5:5" ht="12.75" x14ac:dyDescent="0.2">
      <c r="E491" s="15"/>
    </row>
    <row r="492" spans="5:5" ht="12.75" x14ac:dyDescent="0.2">
      <c r="E492" s="15"/>
    </row>
    <row r="493" spans="5:5" ht="12.75" x14ac:dyDescent="0.2">
      <c r="E493" s="15"/>
    </row>
    <row r="494" spans="5:5" ht="12.75" x14ac:dyDescent="0.2">
      <c r="E494" s="15"/>
    </row>
    <row r="495" spans="5:5" ht="12.75" x14ac:dyDescent="0.2">
      <c r="E495" s="15"/>
    </row>
    <row r="496" spans="5:5" ht="12.75" x14ac:dyDescent="0.2">
      <c r="E496" s="15"/>
    </row>
    <row r="497" spans="5:5" ht="12.75" x14ac:dyDescent="0.2">
      <c r="E497" s="15"/>
    </row>
    <row r="498" spans="5:5" ht="12.75" x14ac:dyDescent="0.2">
      <c r="E498" s="15"/>
    </row>
    <row r="499" spans="5:5" ht="12.75" x14ac:dyDescent="0.2">
      <c r="E499" s="15"/>
    </row>
    <row r="500" spans="5:5" ht="12.75" x14ac:dyDescent="0.2">
      <c r="E500" s="15"/>
    </row>
    <row r="501" spans="5:5" ht="12.75" x14ac:dyDescent="0.2">
      <c r="E501" s="15"/>
    </row>
    <row r="502" spans="5:5" ht="12.75" x14ac:dyDescent="0.2">
      <c r="E502" s="15"/>
    </row>
    <row r="503" spans="5:5" ht="12.75" x14ac:dyDescent="0.2">
      <c r="E503" s="15"/>
    </row>
    <row r="504" spans="5:5" ht="12.75" x14ac:dyDescent="0.2">
      <c r="E504" s="15"/>
    </row>
    <row r="505" spans="5:5" ht="12.75" x14ac:dyDescent="0.2">
      <c r="E505" s="15"/>
    </row>
    <row r="506" spans="5:5" ht="12.75" x14ac:dyDescent="0.2">
      <c r="E506" s="15"/>
    </row>
    <row r="507" spans="5:5" ht="12.75" x14ac:dyDescent="0.2">
      <c r="E507" s="15"/>
    </row>
    <row r="508" spans="5:5" ht="12.75" x14ac:dyDescent="0.2">
      <c r="E508" s="15"/>
    </row>
    <row r="509" spans="5:5" ht="12.75" x14ac:dyDescent="0.2">
      <c r="E509" s="15"/>
    </row>
    <row r="510" spans="5:5" ht="12.75" x14ac:dyDescent="0.2">
      <c r="E510" s="15"/>
    </row>
    <row r="511" spans="5:5" ht="12.75" x14ac:dyDescent="0.2">
      <c r="E511" s="15"/>
    </row>
    <row r="512" spans="5:5" ht="12.75" x14ac:dyDescent="0.2">
      <c r="E512" s="15"/>
    </row>
    <row r="513" spans="5:5" ht="12.75" x14ac:dyDescent="0.2">
      <c r="E513" s="15"/>
    </row>
    <row r="514" spans="5:5" ht="12.75" x14ac:dyDescent="0.2">
      <c r="E514" s="15"/>
    </row>
    <row r="515" spans="5:5" ht="12.75" x14ac:dyDescent="0.2">
      <c r="E515" s="15"/>
    </row>
    <row r="516" spans="5:5" ht="12.75" x14ac:dyDescent="0.2">
      <c r="E516" s="15"/>
    </row>
    <row r="517" spans="5:5" ht="12.75" x14ac:dyDescent="0.2">
      <c r="E517" s="15"/>
    </row>
    <row r="518" spans="5:5" ht="12.75" x14ac:dyDescent="0.2">
      <c r="E518" s="15"/>
    </row>
    <row r="519" spans="5:5" ht="12.75" x14ac:dyDescent="0.2">
      <c r="E519" s="15"/>
    </row>
    <row r="520" spans="5:5" ht="12.75" x14ac:dyDescent="0.2">
      <c r="E520" s="15"/>
    </row>
    <row r="521" spans="5:5" ht="12.75" x14ac:dyDescent="0.2">
      <c r="E521" s="15"/>
    </row>
    <row r="522" spans="5:5" ht="12.75" x14ac:dyDescent="0.2">
      <c r="E522" s="15"/>
    </row>
    <row r="523" spans="5:5" ht="12.75" x14ac:dyDescent="0.2">
      <c r="E523" s="15"/>
    </row>
    <row r="524" spans="5:5" ht="12.75" x14ac:dyDescent="0.2">
      <c r="E524" s="15"/>
    </row>
    <row r="525" spans="5:5" ht="12.75" x14ac:dyDescent="0.2">
      <c r="E525" s="15"/>
    </row>
    <row r="526" spans="5:5" ht="12.75" x14ac:dyDescent="0.2">
      <c r="E526" s="15"/>
    </row>
    <row r="527" spans="5:5" ht="12.75" x14ac:dyDescent="0.2">
      <c r="E527" s="15"/>
    </row>
    <row r="528" spans="5:5" ht="12.75" x14ac:dyDescent="0.2">
      <c r="E528" s="15"/>
    </row>
    <row r="529" spans="5:5" ht="12.75" x14ac:dyDescent="0.2">
      <c r="E529" s="15"/>
    </row>
    <row r="530" spans="5:5" ht="12.75" x14ac:dyDescent="0.2">
      <c r="E530" s="15"/>
    </row>
    <row r="531" spans="5:5" ht="12.75" x14ac:dyDescent="0.2">
      <c r="E531" s="15"/>
    </row>
    <row r="532" spans="5:5" ht="12.75" x14ac:dyDescent="0.2">
      <c r="E532" s="15"/>
    </row>
    <row r="533" spans="5:5" ht="12.75" x14ac:dyDescent="0.2">
      <c r="E533" s="15"/>
    </row>
    <row r="534" spans="5:5" ht="12.75" x14ac:dyDescent="0.2">
      <c r="E534" s="15"/>
    </row>
    <row r="535" spans="5:5" ht="12.75" x14ac:dyDescent="0.2">
      <c r="E535" s="15"/>
    </row>
    <row r="536" spans="5:5" ht="12.75" x14ac:dyDescent="0.2">
      <c r="E536" s="15"/>
    </row>
    <row r="537" spans="5:5" ht="12.75" x14ac:dyDescent="0.2">
      <c r="E537" s="15"/>
    </row>
    <row r="538" spans="5:5" ht="12.75" x14ac:dyDescent="0.2">
      <c r="E538" s="15"/>
    </row>
    <row r="539" spans="5:5" ht="12.75" x14ac:dyDescent="0.2">
      <c r="E539" s="15"/>
    </row>
    <row r="540" spans="5:5" ht="12.75" x14ac:dyDescent="0.2">
      <c r="E540" s="15"/>
    </row>
    <row r="541" spans="5:5" ht="12.75" x14ac:dyDescent="0.2">
      <c r="E541" s="15"/>
    </row>
    <row r="542" spans="5:5" ht="12.75" x14ac:dyDescent="0.2">
      <c r="E542" s="15"/>
    </row>
    <row r="543" spans="5:5" ht="12.75" x14ac:dyDescent="0.2">
      <c r="E543" s="15"/>
    </row>
    <row r="544" spans="5:5" ht="12.75" x14ac:dyDescent="0.2">
      <c r="E544" s="15"/>
    </row>
    <row r="545" spans="5:5" ht="12.75" x14ac:dyDescent="0.2">
      <c r="E545" s="15"/>
    </row>
    <row r="546" spans="5:5" ht="12.75" x14ac:dyDescent="0.2">
      <c r="E546" s="15"/>
    </row>
    <row r="547" spans="5:5" ht="12.75" x14ac:dyDescent="0.2">
      <c r="E547" s="15"/>
    </row>
    <row r="548" spans="5:5" ht="12.75" x14ac:dyDescent="0.2">
      <c r="E548" s="15"/>
    </row>
    <row r="549" spans="5:5" ht="12.75" x14ac:dyDescent="0.2">
      <c r="E549" s="15"/>
    </row>
    <row r="550" spans="5:5" ht="12.75" x14ac:dyDescent="0.2">
      <c r="E550" s="15"/>
    </row>
    <row r="551" spans="5:5" ht="12.75" x14ac:dyDescent="0.2">
      <c r="E551" s="15"/>
    </row>
    <row r="552" spans="5:5" ht="12.75" x14ac:dyDescent="0.2">
      <c r="E552" s="15"/>
    </row>
    <row r="553" spans="5:5" ht="12.75" x14ac:dyDescent="0.2">
      <c r="E553" s="15"/>
    </row>
    <row r="554" spans="5:5" ht="12.75" x14ac:dyDescent="0.2">
      <c r="E554" s="15"/>
    </row>
    <row r="555" spans="5:5" ht="12.75" x14ac:dyDescent="0.2">
      <c r="E555" s="15"/>
    </row>
    <row r="556" spans="5:5" ht="12.75" x14ac:dyDescent="0.2">
      <c r="E556" s="15"/>
    </row>
    <row r="557" spans="5:5" ht="12.75" x14ac:dyDescent="0.2">
      <c r="E557" s="15"/>
    </row>
    <row r="558" spans="5:5" ht="12.75" x14ac:dyDescent="0.2">
      <c r="E558" s="15"/>
    </row>
    <row r="559" spans="5:5" ht="12.75" x14ac:dyDescent="0.2">
      <c r="E559" s="15"/>
    </row>
    <row r="560" spans="5:5" ht="12.75" x14ac:dyDescent="0.2">
      <c r="E560" s="15"/>
    </row>
    <row r="561" spans="5:5" ht="12.75" x14ac:dyDescent="0.2">
      <c r="E561" s="15"/>
    </row>
    <row r="562" spans="5:5" ht="12.75" x14ac:dyDescent="0.2">
      <c r="E562" s="15"/>
    </row>
    <row r="563" spans="5:5" ht="12.75" x14ac:dyDescent="0.2">
      <c r="E563" s="15"/>
    </row>
    <row r="564" spans="5:5" ht="12.75" x14ac:dyDescent="0.2">
      <c r="E564" s="15"/>
    </row>
    <row r="565" spans="5:5" ht="12.75" x14ac:dyDescent="0.2">
      <c r="E565" s="15"/>
    </row>
    <row r="566" spans="5:5" ht="12.75" x14ac:dyDescent="0.2">
      <c r="E566" s="15"/>
    </row>
    <row r="567" spans="5:5" ht="12.75" x14ac:dyDescent="0.2">
      <c r="E567" s="15"/>
    </row>
    <row r="568" spans="5:5" ht="12.75" x14ac:dyDescent="0.2">
      <c r="E568" s="15"/>
    </row>
    <row r="569" spans="5:5" ht="12.75" x14ac:dyDescent="0.2">
      <c r="E569" s="15"/>
    </row>
    <row r="570" spans="5:5" ht="12.75" x14ac:dyDescent="0.2">
      <c r="E570" s="15"/>
    </row>
    <row r="571" spans="5:5" ht="12.75" x14ac:dyDescent="0.2">
      <c r="E571" s="15"/>
    </row>
    <row r="572" spans="5:5" ht="12.75" x14ac:dyDescent="0.2">
      <c r="E572" s="15"/>
    </row>
    <row r="573" spans="5:5" ht="12.75" x14ac:dyDescent="0.2">
      <c r="E573" s="15"/>
    </row>
    <row r="574" spans="5:5" ht="12.75" x14ac:dyDescent="0.2">
      <c r="E574" s="15"/>
    </row>
    <row r="575" spans="5:5" ht="12.75" x14ac:dyDescent="0.2">
      <c r="E575" s="15"/>
    </row>
    <row r="576" spans="5:5" ht="12.75" x14ac:dyDescent="0.2">
      <c r="E576" s="15"/>
    </row>
    <row r="577" spans="5:5" ht="12.75" x14ac:dyDescent="0.2">
      <c r="E577" s="15"/>
    </row>
    <row r="578" spans="5:5" ht="12.75" x14ac:dyDescent="0.2">
      <c r="E578" s="15"/>
    </row>
    <row r="579" spans="5:5" ht="12.75" x14ac:dyDescent="0.2">
      <c r="E579" s="15"/>
    </row>
    <row r="580" spans="5:5" ht="12.75" x14ac:dyDescent="0.2">
      <c r="E580" s="15"/>
    </row>
    <row r="581" spans="5:5" ht="12.75" x14ac:dyDescent="0.2">
      <c r="E581" s="15"/>
    </row>
    <row r="582" spans="5:5" ht="12.75" x14ac:dyDescent="0.2">
      <c r="E582" s="15"/>
    </row>
    <row r="583" spans="5:5" ht="12.75" x14ac:dyDescent="0.2">
      <c r="E583" s="15"/>
    </row>
    <row r="584" spans="5:5" ht="12.75" x14ac:dyDescent="0.2">
      <c r="E584" s="15"/>
    </row>
    <row r="585" spans="5:5" ht="12.75" x14ac:dyDescent="0.2">
      <c r="E585" s="15"/>
    </row>
    <row r="586" spans="5:5" ht="12.75" x14ac:dyDescent="0.2">
      <c r="E586" s="15"/>
    </row>
    <row r="587" spans="5:5" ht="12.75" x14ac:dyDescent="0.2">
      <c r="E587" s="15"/>
    </row>
    <row r="588" spans="5:5" ht="12.75" x14ac:dyDescent="0.2">
      <c r="E588" s="15"/>
    </row>
    <row r="589" spans="5:5" ht="12.75" x14ac:dyDescent="0.2">
      <c r="E589" s="15"/>
    </row>
    <row r="590" spans="5:5" ht="12.75" x14ac:dyDescent="0.2">
      <c r="E590" s="15"/>
    </row>
    <row r="591" spans="5:5" ht="12.75" x14ac:dyDescent="0.2">
      <c r="E591" s="15"/>
    </row>
    <row r="592" spans="5:5" ht="12.75" x14ac:dyDescent="0.2">
      <c r="E592" s="15"/>
    </row>
    <row r="593" spans="5:5" ht="12.75" x14ac:dyDescent="0.2">
      <c r="E593" s="15"/>
    </row>
    <row r="594" spans="5:5" ht="12.75" x14ac:dyDescent="0.2">
      <c r="E594" s="15"/>
    </row>
    <row r="595" spans="5:5" ht="12.75" x14ac:dyDescent="0.2">
      <c r="E595" s="15"/>
    </row>
    <row r="596" spans="5:5" ht="12.75" x14ac:dyDescent="0.2">
      <c r="E596" s="15"/>
    </row>
    <row r="597" spans="5:5" ht="12.75" x14ac:dyDescent="0.2">
      <c r="E597" s="15"/>
    </row>
    <row r="598" spans="5:5" ht="12.75" x14ac:dyDescent="0.2">
      <c r="E598" s="15"/>
    </row>
    <row r="599" spans="5:5" ht="12.75" x14ac:dyDescent="0.2">
      <c r="E599" s="15"/>
    </row>
    <row r="600" spans="5:5" ht="12.75" x14ac:dyDescent="0.2">
      <c r="E600" s="15"/>
    </row>
    <row r="601" spans="5:5" ht="12.75" x14ac:dyDescent="0.2">
      <c r="E601" s="15"/>
    </row>
    <row r="602" spans="5:5" ht="12.75" x14ac:dyDescent="0.2">
      <c r="E602" s="15"/>
    </row>
    <row r="603" spans="5:5" ht="12.75" x14ac:dyDescent="0.2">
      <c r="E603" s="15"/>
    </row>
    <row r="604" spans="5:5" ht="12.75" x14ac:dyDescent="0.2">
      <c r="E604" s="15"/>
    </row>
    <row r="605" spans="5:5" ht="12.75" x14ac:dyDescent="0.2">
      <c r="E605" s="15"/>
    </row>
    <row r="606" spans="5:5" ht="12.75" x14ac:dyDescent="0.2">
      <c r="E606" s="15"/>
    </row>
    <row r="607" spans="5:5" ht="12.75" x14ac:dyDescent="0.2">
      <c r="E607" s="15"/>
    </row>
    <row r="608" spans="5:5" ht="12.75" x14ac:dyDescent="0.2">
      <c r="E608" s="15"/>
    </row>
    <row r="609" spans="5:5" ht="12.75" x14ac:dyDescent="0.2">
      <c r="E609" s="15"/>
    </row>
    <row r="610" spans="5:5" ht="12.75" x14ac:dyDescent="0.2">
      <c r="E610" s="15"/>
    </row>
    <row r="611" spans="5:5" ht="12.75" x14ac:dyDescent="0.2">
      <c r="E611" s="15"/>
    </row>
    <row r="612" spans="5:5" ht="12.75" x14ac:dyDescent="0.2">
      <c r="E612" s="15"/>
    </row>
    <row r="613" spans="5:5" ht="12.75" x14ac:dyDescent="0.2">
      <c r="E613" s="15"/>
    </row>
    <row r="614" spans="5:5" ht="12.75" x14ac:dyDescent="0.2">
      <c r="E614" s="15"/>
    </row>
    <row r="615" spans="5:5" ht="12.75" x14ac:dyDescent="0.2">
      <c r="E615" s="15"/>
    </row>
    <row r="616" spans="5:5" ht="12.75" x14ac:dyDescent="0.2">
      <c r="E616" s="15"/>
    </row>
    <row r="617" spans="5:5" ht="12.75" x14ac:dyDescent="0.2">
      <c r="E617" s="15"/>
    </row>
    <row r="618" spans="5:5" ht="12.75" x14ac:dyDescent="0.2">
      <c r="E618" s="15"/>
    </row>
    <row r="619" spans="5:5" ht="12.75" x14ac:dyDescent="0.2">
      <c r="E619" s="15"/>
    </row>
    <row r="620" spans="5:5" ht="12.75" x14ac:dyDescent="0.2">
      <c r="E620" s="15"/>
    </row>
    <row r="621" spans="5:5" ht="12.75" x14ac:dyDescent="0.2">
      <c r="E621" s="15"/>
    </row>
    <row r="622" spans="5:5" ht="12.75" x14ac:dyDescent="0.2">
      <c r="E622" s="15"/>
    </row>
    <row r="623" spans="5:5" ht="12.75" x14ac:dyDescent="0.2">
      <c r="E623" s="15"/>
    </row>
    <row r="624" spans="5:5" ht="12.75" x14ac:dyDescent="0.2">
      <c r="E624" s="15"/>
    </row>
    <row r="625" spans="5:5" ht="12.75" x14ac:dyDescent="0.2">
      <c r="E625" s="15"/>
    </row>
    <row r="626" spans="5:5" ht="12.75" x14ac:dyDescent="0.2">
      <c r="E626" s="15"/>
    </row>
    <row r="627" spans="5:5" ht="12.75" x14ac:dyDescent="0.2">
      <c r="E627" s="15"/>
    </row>
    <row r="628" spans="5:5" ht="12.75" x14ac:dyDescent="0.2">
      <c r="E628" s="15"/>
    </row>
    <row r="629" spans="5:5" ht="12.75" x14ac:dyDescent="0.2">
      <c r="E629" s="15"/>
    </row>
    <row r="630" spans="5:5" ht="12.75" x14ac:dyDescent="0.2">
      <c r="E630" s="15"/>
    </row>
    <row r="631" spans="5:5" ht="12.75" x14ac:dyDescent="0.2">
      <c r="E631" s="15"/>
    </row>
    <row r="632" spans="5:5" ht="12.75" x14ac:dyDescent="0.2">
      <c r="E632" s="15"/>
    </row>
    <row r="633" spans="5:5" ht="12.75" x14ac:dyDescent="0.2">
      <c r="E633" s="15"/>
    </row>
    <row r="634" spans="5:5" ht="12.75" x14ac:dyDescent="0.2">
      <c r="E634" s="15"/>
    </row>
    <row r="635" spans="5:5" ht="12.75" x14ac:dyDescent="0.2">
      <c r="E635" s="15"/>
    </row>
    <row r="636" spans="5:5" ht="12.75" x14ac:dyDescent="0.2">
      <c r="E636" s="15"/>
    </row>
    <row r="637" spans="5:5" ht="12.75" x14ac:dyDescent="0.2">
      <c r="E637" s="15"/>
    </row>
    <row r="638" spans="5:5" ht="12.75" x14ac:dyDescent="0.2">
      <c r="E638" s="15"/>
    </row>
    <row r="639" spans="5:5" ht="12.75" x14ac:dyDescent="0.2">
      <c r="E639" s="15"/>
    </row>
    <row r="640" spans="5:5" ht="12.75" x14ac:dyDescent="0.2">
      <c r="E640" s="15"/>
    </row>
    <row r="641" spans="5:5" ht="12.75" x14ac:dyDescent="0.2">
      <c r="E641" s="15"/>
    </row>
    <row r="642" spans="5:5" ht="12.75" x14ac:dyDescent="0.2">
      <c r="E642" s="15"/>
    </row>
    <row r="643" spans="5:5" ht="12.75" x14ac:dyDescent="0.2">
      <c r="E643" s="15"/>
    </row>
    <row r="644" spans="5:5" ht="12.75" x14ac:dyDescent="0.2">
      <c r="E644" s="15"/>
    </row>
    <row r="645" spans="5:5" ht="12.75" x14ac:dyDescent="0.2">
      <c r="E645" s="15"/>
    </row>
    <row r="646" spans="5:5" ht="12.75" x14ac:dyDescent="0.2">
      <c r="E646" s="15"/>
    </row>
    <row r="647" spans="5:5" ht="12.75" x14ac:dyDescent="0.2">
      <c r="E647" s="15"/>
    </row>
    <row r="648" spans="5:5" ht="12.75" x14ac:dyDescent="0.2">
      <c r="E648" s="15"/>
    </row>
    <row r="649" spans="5:5" ht="12.75" x14ac:dyDescent="0.2">
      <c r="E649" s="15"/>
    </row>
    <row r="650" spans="5:5" ht="12.75" x14ac:dyDescent="0.2">
      <c r="E650" s="15"/>
    </row>
    <row r="651" spans="5:5" ht="12.75" x14ac:dyDescent="0.2">
      <c r="E651" s="15"/>
    </row>
    <row r="652" spans="5:5" ht="12.75" x14ac:dyDescent="0.2">
      <c r="E652" s="15"/>
    </row>
    <row r="653" spans="5:5" ht="12.75" x14ac:dyDescent="0.2">
      <c r="E653" s="15"/>
    </row>
    <row r="654" spans="5:5" ht="12.75" x14ac:dyDescent="0.2">
      <c r="E654" s="15"/>
    </row>
    <row r="655" spans="5:5" ht="12.75" x14ac:dyDescent="0.2">
      <c r="E655" s="15"/>
    </row>
    <row r="656" spans="5:5" ht="12.75" x14ac:dyDescent="0.2">
      <c r="E656" s="15"/>
    </row>
    <row r="657" spans="5:5" ht="12.75" x14ac:dyDescent="0.2">
      <c r="E657" s="15"/>
    </row>
    <row r="658" spans="5:5" ht="12.75" x14ac:dyDescent="0.2">
      <c r="E658" s="15"/>
    </row>
    <row r="659" spans="5:5" ht="12.75" x14ac:dyDescent="0.2">
      <c r="E659" s="15"/>
    </row>
    <row r="660" spans="5:5" ht="12.75" x14ac:dyDescent="0.2">
      <c r="E660" s="15"/>
    </row>
    <row r="661" spans="5:5" ht="12.75" x14ac:dyDescent="0.2">
      <c r="E661" s="15"/>
    </row>
    <row r="662" spans="5:5" ht="12.75" x14ac:dyDescent="0.2">
      <c r="E662" s="15"/>
    </row>
    <row r="663" spans="5:5" ht="12.75" x14ac:dyDescent="0.2">
      <c r="E663" s="15"/>
    </row>
    <row r="664" spans="5:5" ht="12.75" x14ac:dyDescent="0.2">
      <c r="E664" s="15"/>
    </row>
    <row r="665" spans="5:5" ht="12.75" x14ac:dyDescent="0.2">
      <c r="E665" s="15"/>
    </row>
    <row r="666" spans="5:5" ht="12.75" x14ac:dyDescent="0.2">
      <c r="E666" s="15"/>
    </row>
    <row r="667" spans="5:5" ht="12.75" x14ac:dyDescent="0.2">
      <c r="E667" s="15"/>
    </row>
    <row r="668" spans="5:5" ht="12.75" x14ac:dyDescent="0.2">
      <c r="E668" s="15"/>
    </row>
    <row r="669" spans="5:5" ht="12.75" x14ac:dyDescent="0.2">
      <c r="E669" s="15"/>
    </row>
    <row r="670" spans="5:5" ht="12.75" x14ac:dyDescent="0.2">
      <c r="E670" s="15"/>
    </row>
    <row r="671" spans="5:5" ht="12.75" x14ac:dyDescent="0.2">
      <c r="E671" s="15"/>
    </row>
    <row r="672" spans="5:5" ht="12.75" x14ac:dyDescent="0.2">
      <c r="E672" s="15"/>
    </row>
    <row r="673" spans="5:5" ht="12.75" x14ac:dyDescent="0.2">
      <c r="E673" s="15"/>
    </row>
    <row r="674" spans="5:5" ht="12.75" x14ac:dyDescent="0.2">
      <c r="E674" s="15"/>
    </row>
    <row r="675" spans="5:5" ht="12.75" x14ac:dyDescent="0.2">
      <c r="E675" s="15"/>
    </row>
    <row r="676" spans="5:5" ht="12.75" x14ac:dyDescent="0.2">
      <c r="E676" s="15"/>
    </row>
    <row r="677" spans="5:5" ht="12.75" x14ac:dyDescent="0.2">
      <c r="E677" s="15"/>
    </row>
    <row r="678" spans="5:5" ht="12.75" x14ac:dyDescent="0.2">
      <c r="E678" s="15"/>
    </row>
    <row r="679" spans="5:5" ht="12.75" x14ac:dyDescent="0.2">
      <c r="E679" s="15"/>
    </row>
    <row r="680" spans="5:5" ht="12.75" x14ac:dyDescent="0.2">
      <c r="E680" s="15"/>
    </row>
    <row r="681" spans="5:5" ht="12.75" x14ac:dyDescent="0.2">
      <c r="E681" s="15"/>
    </row>
    <row r="682" spans="5:5" ht="12.75" x14ac:dyDescent="0.2">
      <c r="E682" s="15"/>
    </row>
    <row r="683" spans="5:5" ht="12.75" x14ac:dyDescent="0.2">
      <c r="E683" s="15"/>
    </row>
    <row r="684" spans="5:5" ht="12.75" x14ac:dyDescent="0.2">
      <c r="E684" s="15"/>
    </row>
    <row r="685" spans="5:5" ht="12.75" x14ac:dyDescent="0.2">
      <c r="E685" s="15"/>
    </row>
    <row r="686" spans="5:5" ht="12.75" x14ac:dyDescent="0.2">
      <c r="E686" s="15"/>
    </row>
    <row r="687" spans="5:5" ht="12.75" x14ac:dyDescent="0.2">
      <c r="E687" s="15"/>
    </row>
    <row r="688" spans="5:5" ht="12.75" x14ac:dyDescent="0.2">
      <c r="E688" s="15"/>
    </row>
    <row r="689" spans="5:5" ht="12.75" x14ac:dyDescent="0.2">
      <c r="E689" s="15"/>
    </row>
    <row r="690" spans="5:5" ht="12.75" x14ac:dyDescent="0.2">
      <c r="E690" s="15"/>
    </row>
    <row r="691" spans="5:5" ht="12.75" x14ac:dyDescent="0.2">
      <c r="E691" s="15"/>
    </row>
    <row r="692" spans="5:5" ht="12.75" x14ac:dyDescent="0.2">
      <c r="E692" s="15"/>
    </row>
    <row r="693" spans="5:5" ht="12.75" x14ac:dyDescent="0.2">
      <c r="E693" s="15"/>
    </row>
    <row r="694" spans="5:5" ht="12.75" x14ac:dyDescent="0.2">
      <c r="E694" s="15"/>
    </row>
    <row r="695" spans="5:5" ht="12.75" x14ac:dyDescent="0.2">
      <c r="E695" s="15"/>
    </row>
    <row r="696" spans="5:5" ht="12.75" x14ac:dyDescent="0.2">
      <c r="E696" s="15"/>
    </row>
    <row r="697" spans="5:5" ht="12.75" x14ac:dyDescent="0.2">
      <c r="E697" s="15"/>
    </row>
    <row r="698" spans="5:5" ht="12.75" x14ac:dyDescent="0.2">
      <c r="E698" s="15"/>
    </row>
    <row r="699" spans="5:5" ht="12.75" x14ac:dyDescent="0.2">
      <c r="E699" s="15"/>
    </row>
    <row r="700" spans="5:5" ht="12.75" x14ac:dyDescent="0.2">
      <c r="E700" s="15"/>
    </row>
    <row r="701" spans="5:5" ht="12.75" x14ac:dyDescent="0.2">
      <c r="E701" s="15"/>
    </row>
    <row r="702" spans="5:5" ht="12.75" x14ac:dyDescent="0.2">
      <c r="E702" s="15"/>
    </row>
    <row r="703" spans="5:5" ht="12.75" x14ac:dyDescent="0.2">
      <c r="E703" s="15"/>
    </row>
    <row r="704" spans="5:5" ht="12.75" x14ac:dyDescent="0.2">
      <c r="E704" s="15"/>
    </row>
    <row r="705" spans="5:5" ht="12.75" x14ac:dyDescent="0.2">
      <c r="E705" s="15"/>
    </row>
    <row r="706" spans="5:5" ht="12.75" x14ac:dyDescent="0.2">
      <c r="E706" s="15"/>
    </row>
    <row r="707" spans="5:5" ht="12.75" x14ac:dyDescent="0.2">
      <c r="E707" s="15"/>
    </row>
    <row r="708" spans="5:5" ht="12.75" x14ac:dyDescent="0.2">
      <c r="E708" s="15"/>
    </row>
    <row r="709" spans="5:5" ht="12.75" x14ac:dyDescent="0.2">
      <c r="E709" s="15"/>
    </row>
    <row r="710" spans="5:5" ht="12.75" x14ac:dyDescent="0.2">
      <c r="E710" s="15"/>
    </row>
    <row r="711" spans="5:5" ht="12.75" x14ac:dyDescent="0.2">
      <c r="E711" s="15"/>
    </row>
    <row r="712" spans="5:5" ht="12.75" x14ac:dyDescent="0.2">
      <c r="E712" s="15"/>
    </row>
    <row r="713" spans="5:5" ht="12.75" x14ac:dyDescent="0.2">
      <c r="E713" s="15"/>
    </row>
    <row r="714" spans="5:5" ht="12.75" x14ac:dyDescent="0.2">
      <c r="E714" s="15"/>
    </row>
    <row r="715" spans="5:5" ht="12.75" x14ac:dyDescent="0.2">
      <c r="E715" s="15"/>
    </row>
    <row r="716" spans="5:5" ht="12.75" x14ac:dyDescent="0.2">
      <c r="E716" s="15"/>
    </row>
    <row r="717" spans="5:5" ht="12.75" x14ac:dyDescent="0.2">
      <c r="E717" s="15"/>
    </row>
    <row r="718" spans="5:5" ht="12.75" x14ac:dyDescent="0.2">
      <c r="E718" s="15"/>
    </row>
    <row r="719" spans="5:5" ht="12.75" x14ac:dyDescent="0.2">
      <c r="E719" s="15"/>
    </row>
    <row r="720" spans="5:5" ht="12.75" x14ac:dyDescent="0.2">
      <c r="E720" s="15"/>
    </row>
    <row r="721" spans="5:5" ht="12.75" x14ac:dyDescent="0.2">
      <c r="E721" s="15"/>
    </row>
    <row r="722" spans="5:5" ht="12.75" x14ac:dyDescent="0.2">
      <c r="E722" s="15"/>
    </row>
    <row r="723" spans="5:5" ht="12.75" x14ac:dyDescent="0.2">
      <c r="E723" s="15"/>
    </row>
    <row r="724" spans="5:5" ht="12.75" x14ac:dyDescent="0.2">
      <c r="E724" s="15"/>
    </row>
    <row r="725" spans="5:5" ht="12.75" x14ac:dyDescent="0.2">
      <c r="E725" s="15"/>
    </row>
    <row r="726" spans="5:5" ht="12.75" x14ac:dyDescent="0.2">
      <c r="E726" s="15"/>
    </row>
    <row r="727" spans="5:5" ht="12.75" x14ac:dyDescent="0.2">
      <c r="E727" s="15"/>
    </row>
    <row r="728" spans="5:5" ht="12.75" x14ac:dyDescent="0.2">
      <c r="E728" s="15"/>
    </row>
    <row r="729" spans="5:5" ht="12.75" x14ac:dyDescent="0.2">
      <c r="E729" s="15"/>
    </row>
    <row r="730" spans="5:5" ht="12.75" x14ac:dyDescent="0.2">
      <c r="E730" s="15"/>
    </row>
    <row r="731" spans="5:5" ht="12.75" x14ac:dyDescent="0.2">
      <c r="E731" s="15"/>
    </row>
    <row r="732" spans="5:5" ht="12.75" x14ac:dyDescent="0.2">
      <c r="E732" s="15"/>
    </row>
    <row r="733" spans="5:5" ht="12.75" x14ac:dyDescent="0.2">
      <c r="E733" s="15"/>
    </row>
    <row r="734" spans="5:5" ht="12.75" x14ac:dyDescent="0.2">
      <c r="E734" s="15"/>
    </row>
    <row r="735" spans="5:5" ht="12.75" x14ac:dyDescent="0.2">
      <c r="E735" s="15"/>
    </row>
    <row r="736" spans="5:5" ht="12.75" x14ac:dyDescent="0.2">
      <c r="E736" s="15"/>
    </row>
    <row r="737" spans="5:5" ht="12.75" x14ac:dyDescent="0.2">
      <c r="E737" s="15"/>
    </row>
    <row r="738" spans="5:5" ht="12.75" x14ac:dyDescent="0.2">
      <c r="E738" s="15"/>
    </row>
    <row r="739" spans="5:5" ht="12.75" x14ac:dyDescent="0.2">
      <c r="E739" s="15"/>
    </row>
    <row r="740" spans="5:5" ht="12.75" x14ac:dyDescent="0.2">
      <c r="E740" s="15"/>
    </row>
    <row r="741" spans="5:5" ht="12.75" x14ac:dyDescent="0.2">
      <c r="E741" s="15"/>
    </row>
    <row r="742" spans="5:5" ht="12.75" x14ac:dyDescent="0.2">
      <c r="E742" s="15"/>
    </row>
    <row r="743" spans="5:5" ht="12.75" x14ac:dyDescent="0.2">
      <c r="E743" s="15"/>
    </row>
    <row r="744" spans="5:5" ht="12.75" x14ac:dyDescent="0.2">
      <c r="E744" s="15"/>
    </row>
    <row r="745" spans="5:5" ht="12.75" x14ac:dyDescent="0.2">
      <c r="E745" s="15"/>
    </row>
    <row r="746" spans="5:5" ht="12.75" x14ac:dyDescent="0.2">
      <c r="E746" s="15"/>
    </row>
    <row r="747" spans="5:5" ht="12.75" x14ac:dyDescent="0.2">
      <c r="E747" s="15"/>
    </row>
    <row r="748" spans="5:5" ht="12.75" x14ac:dyDescent="0.2">
      <c r="E748" s="15"/>
    </row>
    <row r="749" spans="5:5" ht="12.75" x14ac:dyDescent="0.2">
      <c r="E749" s="15"/>
    </row>
    <row r="750" spans="5:5" ht="12.75" x14ac:dyDescent="0.2">
      <c r="E750" s="15"/>
    </row>
    <row r="751" spans="5:5" ht="12.75" x14ac:dyDescent="0.2">
      <c r="E751" s="15"/>
    </row>
    <row r="752" spans="5:5" ht="12.75" x14ac:dyDescent="0.2">
      <c r="E752" s="15"/>
    </row>
    <row r="753" spans="5:5" ht="12.75" x14ac:dyDescent="0.2">
      <c r="E753" s="15"/>
    </row>
    <row r="754" spans="5:5" ht="12.75" x14ac:dyDescent="0.2">
      <c r="E754" s="15"/>
    </row>
    <row r="755" spans="5:5" ht="12.75" x14ac:dyDescent="0.2">
      <c r="E755" s="15"/>
    </row>
    <row r="756" spans="5:5" ht="12.75" x14ac:dyDescent="0.2">
      <c r="E756" s="15"/>
    </row>
    <row r="757" spans="5:5" ht="12.75" x14ac:dyDescent="0.2">
      <c r="E757" s="15"/>
    </row>
    <row r="758" spans="5:5" ht="12.75" x14ac:dyDescent="0.2">
      <c r="E758" s="15"/>
    </row>
    <row r="759" spans="5:5" ht="12.75" x14ac:dyDescent="0.2">
      <c r="E759" s="15"/>
    </row>
    <row r="760" spans="5:5" ht="12.75" x14ac:dyDescent="0.2">
      <c r="E760" s="15"/>
    </row>
    <row r="761" spans="5:5" ht="12.75" x14ac:dyDescent="0.2">
      <c r="E761" s="15"/>
    </row>
    <row r="762" spans="5:5" ht="12.75" x14ac:dyDescent="0.2">
      <c r="E762" s="15"/>
    </row>
    <row r="763" spans="5:5" ht="12.75" x14ac:dyDescent="0.2">
      <c r="E763" s="15"/>
    </row>
    <row r="764" spans="5:5" ht="12.75" x14ac:dyDescent="0.2">
      <c r="E764" s="15"/>
    </row>
    <row r="765" spans="5:5" ht="12.75" x14ac:dyDescent="0.2">
      <c r="E765" s="15"/>
    </row>
    <row r="766" spans="5:5" ht="12.75" x14ac:dyDescent="0.2">
      <c r="E766" s="15"/>
    </row>
    <row r="767" spans="5:5" ht="12.75" x14ac:dyDescent="0.2">
      <c r="E767" s="15"/>
    </row>
    <row r="768" spans="5:5" ht="12.75" x14ac:dyDescent="0.2">
      <c r="E768" s="15"/>
    </row>
    <row r="769" spans="5:5" ht="12.75" x14ac:dyDescent="0.2">
      <c r="E769" s="15"/>
    </row>
    <row r="770" spans="5:5" ht="12.75" x14ac:dyDescent="0.2">
      <c r="E770" s="15"/>
    </row>
    <row r="771" spans="5:5" ht="12.75" x14ac:dyDescent="0.2">
      <c r="E771" s="15"/>
    </row>
    <row r="772" spans="5:5" ht="12.75" x14ac:dyDescent="0.2">
      <c r="E772" s="15"/>
    </row>
    <row r="773" spans="5:5" ht="12.75" x14ac:dyDescent="0.2">
      <c r="E773" s="15"/>
    </row>
    <row r="774" spans="5:5" ht="12.75" x14ac:dyDescent="0.2">
      <c r="E774" s="15"/>
    </row>
    <row r="775" spans="5:5" ht="12.75" x14ac:dyDescent="0.2">
      <c r="E775" s="15"/>
    </row>
    <row r="776" spans="5:5" ht="12.75" x14ac:dyDescent="0.2">
      <c r="E776" s="15"/>
    </row>
    <row r="777" spans="5:5" ht="12.75" x14ac:dyDescent="0.2">
      <c r="E777" s="15"/>
    </row>
    <row r="778" spans="5:5" ht="12.75" x14ac:dyDescent="0.2">
      <c r="E778" s="15"/>
    </row>
    <row r="779" spans="5:5" ht="12.75" x14ac:dyDescent="0.2">
      <c r="E779" s="15"/>
    </row>
    <row r="780" spans="5:5" ht="12.75" x14ac:dyDescent="0.2">
      <c r="E780" s="15"/>
    </row>
    <row r="781" spans="5:5" ht="12.75" x14ac:dyDescent="0.2">
      <c r="E781" s="15"/>
    </row>
    <row r="782" spans="5:5" ht="12.75" x14ac:dyDescent="0.2">
      <c r="E782" s="15"/>
    </row>
    <row r="783" spans="5:5" ht="12.75" x14ac:dyDescent="0.2">
      <c r="E783" s="15"/>
    </row>
    <row r="784" spans="5:5" ht="12.75" x14ac:dyDescent="0.2">
      <c r="E784" s="15"/>
    </row>
    <row r="785" spans="5:5" ht="12.75" x14ac:dyDescent="0.2">
      <c r="E785" s="15"/>
    </row>
    <row r="786" spans="5:5" ht="12.75" x14ac:dyDescent="0.2">
      <c r="E786" s="15"/>
    </row>
    <row r="787" spans="5:5" ht="12.75" x14ac:dyDescent="0.2">
      <c r="E787" s="15"/>
    </row>
    <row r="788" spans="5:5" ht="12.75" x14ac:dyDescent="0.2">
      <c r="E788" s="15"/>
    </row>
    <row r="789" spans="5:5" ht="12.75" x14ac:dyDescent="0.2">
      <c r="E789" s="15"/>
    </row>
    <row r="790" spans="5:5" ht="12.75" x14ac:dyDescent="0.2">
      <c r="E790" s="15"/>
    </row>
    <row r="791" spans="5:5" ht="12.75" x14ac:dyDescent="0.2">
      <c r="E791" s="15"/>
    </row>
    <row r="792" spans="5:5" ht="12.75" x14ac:dyDescent="0.2">
      <c r="E792" s="15"/>
    </row>
    <row r="793" spans="5:5" ht="12.75" x14ac:dyDescent="0.2">
      <c r="E793" s="15"/>
    </row>
    <row r="794" spans="5:5" ht="12.75" x14ac:dyDescent="0.2">
      <c r="E794" s="15"/>
    </row>
    <row r="795" spans="5:5" ht="12.75" x14ac:dyDescent="0.2">
      <c r="E795" s="15"/>
    </row>
    <row r="796" spans="5:5" ht="12.75" x14ac:dyDescent="0.2">
      <c r="E796" s="15"/>
    </row>
    <row r="797" spans="5:5" ht="12.75" x14ac:dyDescent="0.2">
      <c r="E797" s="15"/>
    </row>
    <row r="798" spans="5:5" ht="12.75" x14ac:dyDescent="0.2">
      <c r="E798" s="15"/>
    </row>
    <row r="799" spans="5:5" ht="12.75" x14ac:dyDescent="0.2">
      <c r="E799" s="15"/>
    </row>
    <row r="800" spans="5:5" ht="12.75" x14ac:dyDescent="0.2">
      <c r="E800" s="15"/>
    </row>
    <row r="801" spans="5:5" ht="12.75" x14ac:dyDescent="0.2">
      <c r="E801" s="15"/>
    </row>
    <row r="802" spans="5:5" ht="12.75" x14ac:dyDescent="0.2">
      <c r="E802" s="15"/>
    </row>
    <row r="803" spans="5:5" ht="12.75" x14ac:dyDescent="0.2">
      <c r="E803" s="15"/>
    </row>
    <row r="804" spans="5:5" ht="12.75" x14ac:dyDescent="0.2">
      <c r="E804" s="15"/>
    </row>
    <row r="805" spans="5:5" ht="12.75" x14ac:dyDescent="0.2">
      <c r="E805" s="15"/>
    </row>
    <row r="806" spans="5:5" ht="12.75" x14ac:dyDescent="0.2">
      <c r="E806" s="15"/>
    </row>
    <row r="807" spans="5:5" ht="12.75" x14ac:dyDescent="0.2">
      <c r="E807" s="15"/>
    </row>
    <row r="808" spans="5:5" ht="12.75" x14ac:dyDescent="0.2">
      <c r="E808" s="15"/>
    </row>
    <row r="809" spans="5:5" ht="12.75" x14ac:dyDescent="0.2">
      <c r="E809" s="15"/>
    </row>
    <row r="810" spans="5:5" ht="12.75" x14ac:dyDescent="0.2">
      <c r="E810" s="15"/>
    </row>
    <row r="811" spans="5:5" ht="12.75" x14ac:dyDescent="0.2">
      <c r="E811" s="15"/>
    </row>
    <row r="812" spans="5:5" ht="12.75" x14ac:dyDescent="0.2">
      <c r="E812" s="15"/>
    </row>
    <row r="813" spans="5:5" ht="12.75" x14ac:dyDescent="0.2">
      <c r="E813" s="15"/>
    </row>
    <row r="814" spans="5:5" ht="12.75" x14ac:dyDescent="0.2">
      <c r="E814" s="15"/>
    </row>
    <row r="815" spans="5:5" ht="12.75" x14ac:dyDescent="0.2">
      <c r="E815" s="15"/>
    </row>
    <row r="816" spans="5:5" ht="12.75" x14ac:dyDescent="0.2">
      <c r="E816" s="15"/>
    </row>
    <row r="817" spans="5:5" ht="12.75" x14ac:dyDescent="0.2">
      <c r="E817" s="15"/>
    </row>
    <row r="818" spans="5:5" ht="12.75" x14ac:dyDescent="0.2">
      <c r="E818" s="15"/>
    </row>
    <row r="819" spans="5:5" ht="12.75" x14ac:dyDescent="0.2">
      <c r="E819" s="15"/>
    </row>
    <row r="820" spans="5:5" ht="12.75" x14ac:dyDescent="0.2">
      <c r="E820" s="15"/>
    </row>
    <row r="821" spans="5:5" ht="12.75" x14ac:dyDescent="0.2">
      <c r="E821" s="15"/>
    </row>
    <row r="822" spans="5:5" ht="12.75" x14ac:dyDescent="0.2">
      <c r="E822" s="15"/>
    </row>
    <row r="823" spans="5:5" ht="12.75" x14ac:dyDescent="0.2">
      <c r="E823" s="15"/>
    </row>
    <row r="824" spans="5:5" ht="12.75" x14ac:dyDescent="0.2">
      <c r="E824" s="15"/>
    </row>
    <row r="825" spans="5:5" ht="12.75" x14ac:dyDescent="0.2">
      <c r="E825" s="15"/>
    </row>
    <row r="826" spans="5:5" ht="12.75" x14ac:dyDescent="0.2">
      <c r="E826" s="15"/>
    </row>
    <row r="827" spans="5:5" ht="12.75" x14ac:dyDescent="0.2">
      <c r="E827" s="15"/>
    </row>
    <row r="828" spans="5:5" ht="12.75" x14ac:dyDescent="0.2">
      <c r="E828" s="15"/>
    </row>
    <row r="829" spans="5:5" ht="12.75" x14ac:dyDescent="0.2">
      <c r="E829" s="15"/>
    </row>
    <row r="830" spans="5:5" ht="12.75" x14ac:dyDescent="0.2">
      <c r="E830" s="15"/>
    </row>
    <row r="831" spans="5:5" ht="12.75" x14ac:dyDescent="0.2">
      <c r="E831" s="15"/>
    </row>
    <row r="832" spans="5:5" ht="12.75" x14ac:dyDescent="0.2">
      <c r="E832" s="15"/>
    </row>
    <row r="833" spans="5:5" ht="12.75" x14ac:dyDescent="0.2">
      <c r="E833" s="15"/>
    </row>
    <row r="834" spans="5:5" ht="12.75" x14ac:dyDescent="0.2">
      <c r="E834" s="15"/>
    </row>
    <row r="835" spans="5:5" ht="12.75" x14ac:dyDescent="0.2">
      <c r="E835" s="15"/>
    </row>
    <row r="836" spans="5:5" ht="12.75" x14ac:dyDescent="0.2">
      <c r="E836" s="15"/>
    </row>
    <row r="837" spans="5:5" ht="12.75" x14ac:dyDescent="0.2">
      <c r="E837" s="15"/>
    </row>
    <row r="838" spans="5:5" ht="12.75" x14ac:dyDescent="0.2">
      <c r="E838" s="15"/>
    </row>
    <row r="839" spans="5:5" ht="12.75" x14ac:dyDescent="0.2">
      <c r="E839" s="15"/>
    </row>
    <row r="840" spans="5:5" ht="12.75" x14ac:dyDescent="0.2">
      <c r="E840" s="15"/>
    </row>
    <row r="841" spans="5:5" ht="12.75" x14ac:dyDescent="0.2">
      <c r="E841" s="15"/>
    </row>
    <row r="842" spans="5:5" ht="12.75" x14ac:dyDescent="0.2">
      <c r="E842" s="15"/>
    </row>
    <row r="843" spans="5:5" ht="12.75" x14ac:dyDescent="0.2">
      <c r="E843" s="15"/>
    </row>
    <row r="844" spans="5:5" ht="12.75" x14ac:dyDescent="0.2">
      <c r="E844" s="15"/>
    </row>
    <row r="845" spans="5:5" ht="12.75" x14ac:dyDescent="0.2">
      <c r="E845" s="15"/>
    </row>
    <row r="846" spans="5:5" ht="12.75" x14ac:dyDescent="0.2">
      <c r="E846" s="15"/>
    </row>
    <row r="847" spans="5:5" ht="12.75" x14ac:dyDescent="0.2">
      <c r="E847" s="15"/>
    </row>
    <row r="848" spans="5:5" ht="12.75" x14ac:dyDescent="0.2">
      <c r="E848" s="15"/>
    </row>
    <row r="849" spans="5:5" ht="12.75" x14ac:dyDescent="0.2">
      <c r="E849" s="15"/>
    </row>
    <row r="850" spans="5:5" ht="12.75" x14ac:dyDescent="0.2">
      <c r="E850" s="15"/>
    </row>
    <row r="851" spans="5:5" ht="12.75" x14ac:dyDescent="0.2">
      <c r="E851" s="15"/>
    </row>
    <row r="852" spans="5:5" ht="12.75" x14ac:dyDescent="0.2">
      <c r="E852" s="15"/>
    </row>
    <row r="853" spans="5:5" ht="12.75" x14ac:dyDescent="0.2">
      <c r="E853" s="15"/>
    </row>
    <row r="854" spans="5:5" ht="12.75" x14ac:dyDescent="0.2">
      <c r="E854" s="15"/>
    </row>
    <row r="855" spans="5:5" ht="12.75" x14ac:dyDescent="0.2">
      <c r="E855" s="15"/>
    </row>
    <row r="856" spans="5:5" ht="12.75" x14ac:dyDescent="0.2">
      <c r="E856" s="15"/>
    </row>
    <row r="857" spans="5:5" ht="12.75" x14ac:dyDescent="0.2">
      <c r="E857" s="15"/>
    </row>
    <row r="858" spans="5:5" ht="12.75" x14ac:dyDescent="0.2">
      <c r="E858" s="15"/>
    </row>
    <row r="859" spans="5:5" ht="12.75" x14ac:dyDescent="0.2">
      <c r="E859" s="15"/>
    </row>
    <row r="860" spans="5:5" ht="12.75" x14ac:dyDescent="0.2">
      <c r="E860" s="15"/>
    </row>
    <row r="861" spans="5:5" ht="12.75" x14ac:dyDescent="0.2">
      <c r="E861" s="15"/>
    </row>
    <row r="862" spans="5:5" ht="12.75" x14ac:dyDescent="0.2">
      <c r="E862" s="15"/>
    </row>
    <row r="863" spans="5:5" ht="12.75" x14ac:dyDescent="0.2">
      <c r="E863" s="15"/>
    </row>
    <row r="864" spans="5:5" ht="12.75" x14ac:dyDescent="0.2">
      <c r="E864" s="15"/>
    </row>
    <row r="865" spans="5:5" ht="12.75" x14ac:dyDescent="0.2">
      <c r="E865" s="15"/>
    </row>
    <row r="866" spans="5:5" ht="12.75" x14ac:dyDescent="0.2">
      <c r="E866" s="15"/>
    </row>
    <row r="867" spans="5:5" ht="12.75" x14ac:dyDescent="0.2">
      <c r="E867" s="15"/>
    </row>
    <row r="868" spans="5:5" ht="12.75" x14ac:dyDescent="0.2">
      <c r="E868" s="15"/>
    </row>
    <row r="869" spans="5:5" ht="12.75" x14ac:dyDescent="0.2">
      <c r="E869" s="15"/>
    </row>
    <row r="870" spans="5:5" ht="12.75" x14ac:dyDescent="0.2">
      <c r="E870" s="15"/>
    </row>
    <row r="871" spans="5:5" ht="12.75" x14ac:dyDescent="0.2">
      <c r="E871" s="15"/>
    </row>
    <row r="872" spans="5:5" ht="12.75" x14ac:dyDescent="0.2">
      <c r="E872" s="15"/>
    </row>
    <row r="873" spans="5:5" ht="12.75" x14ac:dyDescent="0.2">
      <c r="E873" s="15"/>
    </row>
    <row r="874" spans="5:5" ht="12.75" x14ac:dyDescent="0.2">
      <c r="E874" s="15"/>
    </row>
    <row r="875" spans="5:5" ht="12.75" x14ac:dyDescent="0.2">
      <c r="E875" s="15"/>
    </row>
    <row r="876" spans="5:5" ht="12.75" x14ac:dyDescent="0.2">
      <c r="E876" s="15"/>
    </row>
    <row r="877" spans="5:5" ht="12.75" x14ac:dyDescent="0.2">
      <c r="E877" s="15"/>
    </row>
    <row r="878" spans="5:5" ht="12.75" x14ac:dyDescent="0.2">
      <c r="E878" s="15"/>
    </row>
    <row r="879" spans="5:5" ht="12.75" x14ac:dyDescent="0.2">
      <c r="E879" s="15"/>
    </row>
    <row r="880" spans="5:5" ht="12.75" x14ac:dyDescent="0.2">
      <c r="E880" s="15"/>
    </row>
    <row r="881" spans="5:5" ht="12.75" x14ac:dyDescent="0.2">
      <c r="E881" s="15"/>
    </row>
    <row r="882" spans="5:5" ht="12.75" x14ac:dyDescent="0.2">
      <c r="E882" s="15"/>
    </row>
    <row r="883" spans="5:5" ht="12.75" x14ac:dyDescent="0.2">
      <c r="E883" s="15"/>
    </row>
    <row r="884" spans="5:5" ht="12.75" x14ac:dyDescent="0.2">
      <c r="E884" s="15"/>
    </row>
    <row r="885" spans="5:5" ht="12.75" x14ac:dyDescent="0.2">
      <c r="E885" s="15"/>
    </row>
    <row r="886" spans="5:5" ht="12.75" x14ac:dyDescent="0.2">
      <c r="E886" s="15"/>
    </row>
    <row r="887" spans="5:5" ht="12.75" x14ac:dyDescent="0.2">
      <c r="E887" s="15"/>
    </row>
    <row r="888" spans="5:5" ht="12.75" x14ac:dyDescent="0.2">
      <c r="E888" s="15"/>
    </row>
    <row r="889" spans="5:5" ht="12.75" x14ac:dyDescent="0.2">
      <c r="E889" s="15"/>
    </row>
    <row r="890" spans="5:5" ht="12.75" x14ac:dyDescent="0.2">
      <c r="E890" s="15"/>
    </row>
    <row r="891" spans="5:5" ht="12.75" x14ac:dyDescent="0.2">
      <c r="E891" s="15"/>
    </row>
    <row r="892" spans="5:5" ht="12.75" x14ac:dyDescent="0.2">
      <c r="E892" s="15"/>
    </row>
    <row r="893" spans="5:5" ht="12.75" x14ac:dyDescent="0.2">
      <c r="E893" s="15"/>
    </row>
    <row r="894" spans="5:5" ht="12.75" x14ac:dyDescent="0.2">
      <c r="E894" s="15"/>
    </row>
    <row r="895" spans="5:5" ht="12.75" x14ac:dyDescent="0.2">
      <c r="E895" s="15"/>
    </row>
    <row r="896" spans="5:5" ht="12.75" x14ac:dyDescent="0.2">
      <c r="E896" s="15"/>
    </row>
    <row r="897" spans="5:5" ht="12.75" x14ac:dyDescent="0.2">
      <c r="E897" s="15"/>
    </row>
    <row r="898" spans="5:5" ht="12.75" x14ac:dyDescent="0.2">
      <c r="E898" s="15"/>
    </row>
    <row r="899" spans="5:5" ht="12.75" x14ac:dyDescent="0.2">
      <c r="E899" s="15"/>
    </row>
    <row r="900" spans="5:5" ht="12.75" x14ac:dyDescent="0.2">
      <c r="E900" s="15"/>
    </row>
    <row r="901" spans="5:5" ht="12.75" x14ac:dyDescent="0.2">
      <c r="E901" s="15"/>
    </row>
    <row r="902" spans="5:5" ht="12.75" x14ac:dyDescent="0.2">
      <c r="E902" s="15"/>
    </row>
    <row r="903" spans="5:5" ht="12.75" x14ac:dyDescent="0.2">
      <c r="E903" s="15"/>
    </row>
    <row r="904" spans="5:5" ht="12.75" x14ac:dyDescent="0.2">
      <c r="E904" s="15"/>
    </row>
    <row r="905" spans="5:5" ht="12.75" x14ac:dyDescent="0.2">
      <c r="E905" s="15"/>
    </row>
    <row r="906" spans="5:5" ht="12.75" x14ac:dyDescent="0.2">
      <c r="E906" s="15"/>
    </row>
    <row r="907" spans="5:5" ht="12.75" x14ac:dyDescent="0.2">
      <c r="E907" s="15"/>
    </row>
    <row r="908" spans="5:5" ht="12.75" x14ac:dyDescent="0.2">
      <c r="E908" s="15"/>
    </row>
    <row r="909" spans="5:5" ht="12.75" x14ac:dyDescent="0.2">
      <c r="E909" s="15"/>
    </row>
    <row r="910" spans="5:5" ht="12.75" x14ac:dyDescent="0.2">
      <c r="E910" s="15"/>
    </row>
    <row r="911" spans="5:5" ht="12.75" x14ac:dyDescent="0.2">
      <c r="E911" s="15"/>
    </row>
    <row r="912" spans="5:5" ht="12.75" x14ac:dyDescent="0.2">
      <c r="E912" s="15"/>
    </row>
    <row r="913" spans="5:5" ht="12.75" x14ac:dyDescent="0.2">
      <c r="E913" s="15"/>
    </row>
    <row r="914" spans="5:5" ht="12.75" x14ac:dyDescent="0.2">
      <c r="E914" s="15"/>
    </row>
    <row r="915" spans="5:5" ht="12.75" x14ac:dyDescent="0.2">
      <c r="E915" s="15"/>
    </row>
    <row r="916" spans="5:5" ht="12.75" x14ac:dyDescent="0.2">
      <c r="E916" s="15"/>
    </row>
    <row r="917" spans="5:5" ht="12.75" x14ac:dyDescent="0.2">
      <c r="E917" s="15"/>
    </row>
    <row r="918" spans="5:5" ht="12.75" x14ac:dyDescent="0.2">
      <c r="E918" s="15"/>
    </row>
    <row r="919" spans="5:5" ht="12.75" x14ac:dyDescent="0.2">
      <c r="E919" s="15"/>
    </row>
    <row r="920" spans="5:5" ht="12.75" x14ac:dyDescent="0.2">
      <c r="E920" s="15"/>
    </row>
    <row r="921" spans="5:5" ht="12.75" x14ac:dyDescent="0.2">
      <c r="E921" s="15"/>
    </row>
    <row r="922" spans="5:5" ht="12.75" x14ac:dyDescent="0.2">
      <c r="E922" s="15"/>
    </row>
    <row r="923" spans="5:5" ht="12.75" x14ac:dyDescent="0.2">
      <c r="E923" s="15"/>
    </row>
    <row r="924" spans="5:5" ht="12.75" x14ac:dyDescent="0.2">
      <c r="E924" s="15"/>
    </row>
    <row r="925" spans="5:5" ht="12.75" x14ac:dyDescent="0.2">
      <c r="E925" s="15"/>
    </row>
    <row r="926" spans="5:5" ht="12.75" x14ac:dyDescent="0.2">
      <c r="E926" s="15"/>
    </row>
    <row r="927" spans="5:5" ht="12.75" x14ac:dyDescent="0.2">
      <c r="E927" s="15"/>
    </row>
    <row r="928" spans="5:5" ht="12.75" x14ac:dyDescent="0.2">
      <c r="E928" s="15"/>
    </row>
    <row r="929" spans="5:5" ht="12.75" x14ac:dyDescent="0.2">
      <c r="E929" s="15"/>
    </row>
    <row r="930" spans="5:5" ht="12.75" x14ac:dyDescent="0.2">
      <c r="E930" s="15"/>
    </row>
    <row r="931" spans="5:5" ht="12.75" x14ac:dyDescent="0.2">
      <c r="E931" s="15"/>
    </row>
    <row r="932" spans="5:5" ht="12.75" x14ac:dyDescent="0.2">
      <c r="E932" s="15"/>
    </row>
    <row r="933" spans="5:5" ht="12.75" x14ac:dyDescent="0.2">
      <c r="E933" s="15"/>
    </row>
    <row r="934" spans="5:5" ht="12.75" x14ac:dyDescent="0.2">
      <c r="E934" s="15"/>
    </row>
    <row r="935" spans="5:5" ht="12.75" x14ac:dyDescent="0.2">
      <c r="E935" s="15"/>
    </row>
    <row r="936" spans="5:5" ht="12.75" x14ac:dyDescent="0.2">
      <c r="E936" s="15"/>
    </row>
    <row r="937" spans="5:5" ht="12.75" x14ac:dyDescent="0.2">
      <c r="E937" s="15"/>
    </row>
    <row r="938" spans="5:5" ht="12.75" x14ac:dyDescent="0.2">
      <c r="E938" s="15"/>
    </row>
    <row r="939" spans="5:5" ht="12.75" x14ac:dyDescent="0.2">
      <c r="E939" s="15"/>
    </row>
    <row r="940" spans="5:5" ht="12.75" x14ac:dyDescent="0.2">
      <c r="E940" s="15"/>
    </row>
    <row r="941" spans="5:5" ht="12.75" x14ac:dyDescent="0.2">
      <c r="E941" s="15"/>
    </row>
    <row r="942" spans="5:5" ht="12.75" x14ac:dyDescent="0.2">
      <c r="E942" s="15"/>
    </row>
    <row r="943" spans="5:5" ht="12.75" x14ac:dyDescent="0.2">
      <c r="E943" s="15"/>
    </row>
    <row r="944" spans="5:5" ht="12.75" x14ac:dyDescent="0.2">
      <c r="E944" s="15"/>
    </row>
    <row r="945" spans="5:5" ht="12.75" x14ac:dyDescent="0.2">
      <c r="E945" s="15"/>
    </row>
    <row r="946" spans="5:5" ht="12.75" x14ac:dyDescent="0.2">
      <c r="E946" s="15"/>
    </row>
    <row r="947" spans="5:5" ht="12.75" x14ac:dyDescent="0.2">
      <c r="E947" s="15"/>
    </row>
    <row r="948" spans="5:5" ht="12.75" x14ac:dyDescent="0.2">
      <c r="E948" s="15"/>
    </row>
    <row r="949" spans="5:5" ht="12.75" x14ac:dyDescent="0.2">
      <c r="E949" s="15"/>
    </row>
    <row r="950" spans="5:5" ht="12.75" x14ac:dyDescent="0.2">
      <c r="E950" s="15"/>
    </row>
    <row r="951" spans="5:5" ht="12.75" x14ac:dyDescent="0.2">
      <c r="E951" s="15"/>
    </row>
    <row r="952" spans="5:5" ht="12.75" x14ac:dyDescent="0.2">
      <c r="E952" s="15"/>
    </row>
    <row r="953" spans="5:5" ht="12.75" x14ac:dyDescent="0.2">
      <c r="E953" s="15"/>
    </row>
    <row r="954" spans="5:5" ht="12.75" x14ac:dyDescent="0.2">
      <c r="E954" s="15"/>
    </row>
    <row r="955" spans="5:5" ht="12.75" x14ac:dyDescent="0.2">
      <c r="E955" s="15"/>
    </row>
    <row r="956" spans="5:5" ht="12.75" x14ac:dyDescent="0.2">
      <c r="E956" s="15"/>
    </row>
    <row r="957" spans="5:5" ht="12.75" x14ac:dyDescent="0.2">
      <c r="E957" s="15"/>
    </row>
    <row r="958" spans="5:5" ht="12.75" x14ac:dyDescent="0.2">
      <c r="E958" s="15"/>
    </row>
    <row r="959" spans="5:5" ht="12.75" x14ac:dyDescent="0.2">
      <c r="E959" s="15"/>
    </row>
    <row r="960" spans="5:5" ht="12.75" x14ac:dyDescent="0.2">
      <c r="E960" s="15"/>
    </row>
    <row r="961" spans="5:5" ht="12.75" x14ac:dyDescent="0.2">
      <c r="E961" s="15"/>
    </row>
    <row r="962" spans="5:5" ht="12.75" x14ac:dyDescent="0.2">
      <c r="E962" s="15"/>
    </row>
    <row r="963" spans="5:5" ht="12.75" x14ac:dyDescent="0.2">
      <c r="E963" s="15"/>
    </row>
    <row r="964" spans="5:5" ht="12.75" x14ac:dyDescent="0.2">
      <c r="E964" s="15"/>
    </row>
    <row r="965" spans="5:5" ht="12.75" x14ac:dyDescent="0.2">
      <c r="E965" s="15"/>
    </row>
    <row r="966" spans="5:5" ht="12.75" x14ac:dyDescent="0.2">
      <c r="E966" s="15"/>
    </row>
    <row r="967" spans="5:5" ht="12.75" x14ac:dyDescent="0.2">
      <c r="E967" s="15"/>
    </row>
    <row r="968" spans="5:5" ht="12.75" x14ac:dyDescent="0.2">
      <c r="E968" s="15"/>
    </row>
    <row r="969" spans="5:5" ht="12.75" x14ac:dyDescent="0.2">
      <c r="E969" s="15"/>
    </row>
    <row r="970" spans="5:5" ht="12.75" x14ac:dyDescent="0.2">
      <c r="E970" s="15"/>
    </row>
    <row r="971" spans="5:5" ht="12.75" x14ac:dyDescent="0.2">
      <c r="E971" s="15"/>
    </row>
    <row r="972" spans="5:5" ht="12.75" x14ac:dyDescent="0.2">
      <c r="E972" s="15"/>
    </row>
    <row r="973" spans="5:5" ht="12.75" x14ac:dyDescent="0.2">
      <c r="E973" s="15"/>
    </row>
    <row r="974" spans="5:5" ht="12.75" x14ac:dyDescent="0.2">
      <c r="E974" s="15"/>
    </row>
    <row r="975" spans="5:5" ht="12.75" x14ac:dyDescent="0.2">
      <c r="E975" s="15"/>
    </row>
    <row r="976" spans="5:5" ht="12.75" x14ac:dyDescent="0.2">
      <c r="E976" s="15"/>
    </row>
    <row r="977" spans="5:5" ht="12.75" x14ac:dyDescent="0.2">
      <c r="E977" s="15"/>
    </row>
    <row r="978" spans="5:5" ht="12.75" x14ac:dyDescent="0.2">
      <c r="E978" s="15"/>
    </row>
    <row r="979" spans="5:5" ht="12.75" x14ac:dyDescent="0.2">
      <c r="E979" s="15"/>
    </row>
    <row r="980" spans="5:5" ht="12.75" x14ac:dyDescent="0.2">
      <c r="E980" s="15"/>
    </row>
    <row r="981" spans="5:5" ht="12.75" x14ac:dyDescent="0.2">
      <c r="E981" s="15"/>
    </row>
    <row r="982" spans="5:5" ht="12.75" x14ac:dyDescent="0.2">
      <c r="E982" s="15"/>
    </row>
    <row r="983" spans="5:5" ht="12.75" x14ac:dyDescent="0.2">
      <c r="E983" s="15"/>
    </row>
    <row r="984" spans="5:5" ht="12.75" x14ac:dyDescent="0.2">
      <c r="E984" s="15"/>
    </row>
    <row r="985" spans="5:5" ht="12.75" x14ac:dyDescent="0.2">
      <c r="E985" s="15"/>
    </row>
    <row r="986" spans="5:5" ht="12.75" x14ac:dyDescent="0.2">
      <c r="E986" s="15"/>
    </row>
    <row r="987" spans="5:5" ht="12.75" x14ac:dyDescent="0.2">
      <c r="E987" s="15"/>
    </row>
    <row r="988" spans="5:5" ht="12.75" x14ac:dyDescent="0.2">
      <c r="E988" s="15"/>
    </row>
    <row r="989" spans="5:5" ht="12.75" x14ac:dyDescent="0.2">
      <c r="E989" s="15"/>
    </row>
    <row r="990" spans="5:5" ht="12.75" x14ac:dyDescent="0.2">
      <c r="E990" s="15"/>
    </row>
    <row r="991" spans="5:5" ht="12.75" x14ac:dyDescent="0.2">
      <c r="E991" s="15"/>
    </row>
    <row r="992" spans="5:5" ht="12.75" x14ac:dyDescent="0.2">
      <c r="E992" s="15"/>
    </row>
    <row r="993" spans="5:5" ht="12.75" x14ac:dyDescent="0.2">
      <c r="E993" s="15"/>
    </row>
    <row r="994" spans="5:5" ht="12.75" x14ac:dyDescent="0.2">
      <c r="E994" s="15"/>
    </row>
    <row r="995" spans="5:5" ht="12.75" x14ac:dyDescent="0.2">
      <c r="E995" s="15"/>
    </row>
    <row r="996" spans="5:5" ht="12.75" x14ac:dyDescent="0.2">
      <c r="E996" s="15"/>
    </row>
    <row r="997" spans="5:5" ht="12.75" x14ac:dyDescent="0.2">
      <c r="E997" s="15"/>
    </row>
    <row r="998" spans="5:5" ht="12.75" x14ac:dyDescent="0.2">
      <c r="E998" s="15"/>
    </row>
    <row r="999" spans="5:5" ht="12.75" x14ac:dyDescent="0.2">
      <c r="E999" s="15"/>
    </row>
    <row r="1000" spans="5:5" ht="12.75" x14ac:dyDescent="0.2">
      <c r="E1000" s="15"/>
    </row>
    <row r="1001" spans="5:5" ht="12.75" x14ac:dyDescent="0.2">
      <c r="E1001" s="15"/>
    </row>
    <row r="1002" spans="5:5" ht="12.75" x14ac:dyDescent="0.2">
      <c r="E1002" s="15"/>
    </row>
    <row r="1003" spans="5:5" ht="12.75" x14ac:dyDescent="0.2">
      <c r="E1003" s="15"/>
    </row>
    <row r="1004" spans="5:5" ht="12.75" x14ac:dyDescent="0.2">
      <c r="E1004" s="15"/>
    </row>
    <row r="1005" spans="5:5" ht="12.75" x14ac:dyDescent="0.2">
      <c r="E1005" s="15"/>
    </row>
    <row r="1006" spans="5:5" ht="12.75" x14ac:dyDescent="0.2">
      <c r="E1006" s="15"/>
    </row>
    <row r="1007" spans="5:5" ht="12.75" x14ac:dyDescent="0.2">
      <c r="E1007" s="15"/>
    </row>
  </sheetData>
  <sheetProtection sheet="1" objects="1" scenarios="1"/>
  <protectedRanges>
    <protectedRange algorithmName="SHA-512" hashValue="HYNolcAiyuxqRiySSbyADPuEkiUj1f/fVVA5laIcLjo+XS/4fjBaoqL2XW5Pnt/RFK8061Alz89/lGLzQlAtIg==" saltValue="OYT9yT0wJJYYmEIIDufrSA==" spinCount="100000" sqref="A14 B14 E1:I21 A10 B10 A9:B9 A4 B4 A3:B3 A1:B1" name="Estatísticas e Cabeçalhos"/>
  </protectedRanges>
  <mergeCells count="13">
    <mergeCell ref="A1:B1"/>
    <mergeCell ref="B65:I65"/>
    <mergeCell ref="E16:G16"/>
    <mergeCell ref="E1:I1"/>
    <mergeCell ref="E2:G2"/>
    <mergeCell ref="E8:I8"/>
    <mergeCell ref="E15:H15"/>
    <mergeCell ref="J65:S65"/>
    <mergeCell ref="AB27:AD27"/>
    <mergeCell ref="X39:Z39"/>
    <mergeCell ref="X27:Z27"/>
    <mergeCell ref="A3:B3"/>
    <mergeCell ref="A9:B9"/>
  </mergeCells>
  <dataValidations count="1">
    <dataValidation type="custom" allowBlank="1" showDropDown="1" showInputMessage="1" prompt="Digite uma data válida" sqref="B2" xr:uid="{00000000-0002-0000-0000-000000000000}">
      <formula1>OR(NOT(ISERROR(DATEVALUE(B2))), AND(ISNUMBER(B2), LEFT(CELL("format", B2))="D"))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Ingredientes">
    <outlinePr summaryBelow="0" summaryRight="0"/>
  </sheetPr>
  <dimension ref="A1:F23"/>
  <sheetViews>
    <sheetView showGridLines="0" workbookViewId="0">
      <selection activeCell="E37" sqref="E37"/>
    </sheetView>
  </sheetViews>
  <sheetFormatPr defaultColWidth="12.5703125" defaultRowHeight="15.75" customHeight="1" x14ac:dyDescent="0.2"/>
  <cols>
    <col min="1" max="1" width="19.28515625" bestFit="1" customWidth="1"/>
    <col min="3" max="3" width="39.28515625" bestFit="1" customWidth="1"/>
    <col min="4" max="4" width="13.85546875" customWidth="1"/>
    <col min="5" max="5" width="29.7109375" bestFit="1" customWidth="1"/>
    <col min="6" max="6" width="12.42578125" bestFit="1" customWidth="1"/>
  </cols>
  <sheetData>
    <row r="1" spans="1:6" x14ac:dyDescent="0.2">
      <c r="A1" s="166" t="s">
        <v>42</v>
      </c>
      <c r="B1" s="167"/>
      <c r="C1" s="167"/>
      <c r="D1" s="167"/>
      <c r="E1" s="167"/>
      <c r="F1" s="168"/>
    </row>
    <row r="2" spans="1:6" x14ac:dyDescent="0.2">
      <c r="A2" s="23" t="s">
        <v>43</v>
      </c>
      <c r="B2" s="23" t="s">
        <v>44</v>
      </c>
      <c r="C2" s="23" t="s">
        <v>45</v>
      </c>
      <c r="D2" s="24" t="s">
        <v>46</v>
      </c>
      <c r="E2" s="3" t="s">
        <v>47</v>
      </c>
      <c r="F2" s="3" t="s">
        <v>48</v>
      </c>
    </row>
    <row r="3" spans="1:6" x14ac:dyDescent="0.2">
      <c r="A3" s="192" t="s">
        <v>49</v>
      </c>
      <c r="B3" s="193">
        <v>2</v>
      </c>
      <c r="C3" s="193">
        <v>200</v>
      </c>
      <c r="D3" s="191">
        <v>22</v>
      </c>
      <c r="E3" s="26">
        <f t="shared" ref="E3:E22" si="0">B3*C3</f>
        <v>400</v>
      </c>
      <c r="F3" s="27">
        <f>IFERROR(D3/E3,0)</f>
        <v>5.5E-2</v>
      </c>
    </row>
    <row r="4" spans="1:6" x14ac:dyDescent="0.2">
      <c r="A4" s="192" t="s">
        <v>15</v>
      </c>
      <c r="B4" s="193">
        <v>3</v>
      </c>
      <c r="C4" s="193">
        <v>180</v>
      </c>
      <c r="D4" s="191">
        <v>18</v>
      </c>
      <c r="E4" s="26">
        <f t="shared" si="0"/>
        <v>540</v>
      </c>
      <c r="F4" s="27">
        <f t="shared" ref="F4:F22" si="1">IFERROR(D4/E4,0)</f>
        <v>3.3333333333333333E-2</v>
      </c>
    </row>
    <row r="5" spans="1:6" x14ac:dyDescent="0.2">
      <c r="A5" s="192" t="s">
        <v>50</v>
      </c>
      <c r="B5" s="193">
        <v>3</v>
      </c>
      <c r="C5" s="193">
        <v>370</v>
      </c>
      <c r="D5" s="191">
        <v>16</v>
      </c>
      <c r="E5" s="26">
        <f t="shared" si="0"/>
        <v>1110</v>
      </c>
      <c r="F5" s="27">
        <f t="shared" si="1"/>
        <v>1.4414414414414415E-2</v>
      </c>
    </row>
    <row r="6" spans="1:6" x14ac:dyDescent="0.2">
      <c r="A6" s="192" t="s">
        <v>51</v>
      </c>
      <c r="B6" s="193">
        <v>2</v>
      </c>
      <c r="C6" s="193">
        <v>1000</v>
      </c>
      <c r="D6" s="191">
        <v>15</v>
      </c>
      <c r="E6" s="26">
        <f t="shared" si="0"/>
        <v>2000</v>
      </c>
      <c r="F6" s="27">
        <f t="shared" si="1"/>
        <v>7.4999999999999997E-3</v>
      </c>
    </row>
    <row r="7" spans="1:6" x14ac:dyDescent="0.2">
      <c r="A7" s="192" t="s">
        <v>52</v>
      </c>
      <c r="B7" s="193">
        <v>1</v>
      </c>
      <c r="C7" s="193">
        <v>400</v>
      </c>
      <c r="D7" s="191">
        <v>12</v>
      </c>
      <c r="E7" s="26">
        <f t="shared" si="0"/>
        <v>400</v>
      </c>
      <c r="F7" s="27">
        <f t="shared" si="1"/>
        <v>0.03</v>
      </c>
    </row>
    <row r="8" spans="1:6" x14ac:dyDescent="0.2">
      <c r="A8" s="192" t="s">
        <v>53</v>
      </c>
      <c r="B8" s="193">
        <v>3</v>
      </c>
      <c r="C8" s="193">
        <v>1000</v>
      </c>
      <c r="D8" s="191">
        <v>12</v>
      </c>
      <c r="E8" s="26">
        <f t="shared" si="0"/>
        <v>3000</v>
      </c>
      <c r="F8" s="27">
        <f t="shared" si="1"/>
        <v>4.0000000000000001E-3</v>
      </c>
    </row>
    <row r="9" spans="1:6" x14ac:dyDescent="0.2">
      <c r="A9" s="192" t="s">
        <v>54</v>
      </c>
      <c r="B9" s="193">
        <v>1</v>
      </c>
      <c r="C9" s="193">
        <v>500</v>
      </c>
      <c r="D9" s="191">
        <v>10</v>
      </c>
      <c r="E9" s="26">
        <f t="shared" si="0"/>
        <v>500</v>
      </c>
      <c r="F9" s="27">
        <f t="shared" si="1"/>
        <v>0.02</v>
      </c>
    </row>
    <row r="10" spans="1:6" x14ac:dyDescent="0.2">
      <c r="A10" s="192" t="s">
        <v>55</v>
      </c>
      <c r="B10" s="193">
        <v>1</v>
      </c>
      <c r="C10" s="193">
        <v>380</v>
      </c>
      <c r="D10" s="191">
        <v>10</v>
      </c>
      <c r="E10" s="26">
        <f t="shared" si="0"/>
        <v>380</v>
      </c>
      <c r="F10" s="27">
        <f t="shared" si="1"/>
        <v>2.6315789473684209E-2</v>
      </c>
    </row>
    <row r="11" spans="1:6" x14ac:dyDescent="0.2">
      <c r="A11" s="192" t="s">
        <v>56</v>
      </c>
      <c r="B11" s="193">
        <v>2</v>
      </c>
      <c r="C11" s="193">
        <v>12</v>
      </c>
      <c r="D11" s="191">
        <v>10</v>
      </c>
      <c r="E11" s="26">
        <f t="shared" si="0"/>
        <v>24</v>
      </c>
      <c r="F11" s="27">
        <f t="shared" si="1"/>
        <v>0.41666666666666669</v>
      </c>
    </row>
    <row r="12" spans="1:6" x14ac:dyDescent="0.2">
      <c r="A12" s="192" t="s">
        <v>57</v>
      </c>
      <c r="B12" s="193">
        <v>1</v>
      </c>
      <c r="C12" s="193">
        <v>400</v>
      </c>
      <c r="D12" s="191">
        <v>9</v>
      </c>
      <c r="E12" s="26">
        <f t="shared" si="0"/>
        <v>400</v>
      </c>
      <c r="F12" s="27">
        <f t="shared" si="1"/>
        <v>2.2499999999999999E-2</v>
      </c>
    </row>
    <row r="13" spans="1:6" x14ac:dyDescent="0.2">
      <c r="A13" s="192" t="s">
        <v>58</v>
      </c>
      <c r="B13" s="193">
        <v>1</v>
      </c>
      <c r="C13" s="193">
        <v>400</v>
      </c>
      <c r="D13" s="191">
        <v>8</v>
      </c>
      <c r="E13" s="26">
        <f t="shared" si="0"/>
        <v>400</v>
      </c>
      <c r="F13" s="27">
        <f t="shared" si="1"/>
        <v>0.02</v>
      </c>
    </row>
    <row r="14" spans="1:6" x14ac:dyDescent="0.2">
      <c r="A14" s="192" t="s">
        <v>59</v>
      </c>
      <c r="B14" s="193">
        <v>2</v>
      </c>
      <c r="C14" s="193">
        <v>150</v>
      </c>
      <c r="D14" s="191">
        <v>8</v>
      </c>
      <c r="E14" s="26">
        <f t="shared" si="0"/>
        <v>300</v>
      </c>
      <c r="F14" s="27">
        <f t="shared" si="1"/>
        <v>2.6666666666666668E-2</v>
      </c>
    </row>
    <row r="15" spans="1:6" x14ac:dyDescent="0.2">
      <c r="A15" s="192" t="s">
        <v>60</v>
      </c>
      <c r="B15" s="193">
        <v>1</v>
      </c>
      <c r="C15" s="193">
        <v>15</v>
      </c>
      <c r="D15" s="191">
        <v>8</v>
      </c>
      <c r="E15" s="26">
        <f t="shared" si="0"/>
        <v>15</v>
      </c>
      <c r="F15" s="27">
        <f t="shared" si="1"/>
        <v>0.53333333333333333</v>
      </c>
    </row>
    <row r="16" spans="1:6" x14ac:dyDescent="0.2">
      <c r="A16" s="192" t="s">
        <v>61</v>
      </c>
      <c r="B16" s="193">
        <v>2</v>
      </c>
      <c r="C16" s="193">
        <v>50</v>
      </c>
      <c r="D16" s="191">
        <v>5</v>
      </c>
      <c r="E16" s="26">
        <f t="shared" si="0"/>
        <v>100</v>
      </c>
      <c r="F16" s="27">
        <f t="shared" si="1"/>
        <v>0.05</v>
      </c>
    </row>
    <row r="17" spans="1:6" x14ac:dyDescent="0.2">
      <c r="A17" s="192" t="s">
        <v>62</v>
      </c>
      <c r="B17" s="193">
        <v>3</v>
      </c>
      <c r="C17" s="193">
        <v>1000</v>
      </c>
      <c r="D17" s="191">
        <v>4</v>
      </c>
      <c r="E17" s="26">
        <f t="shared" si="0"/>
        <v>3000</v>
      </c>
      <c r="F17" s="27">
        <f t="shared" si="1"/>
        <v>1.3333333333333333E-3</v>
      </c>
    </row>
    <row r="18" spans="1:6" x14ac:dyDescent="0.2">
      <c r="A18" s="194"/>
      <c r="B18" s="193"/>
      <c r="C18" s="193"/>
      <c r="D18" s="191"/>
      <c r="E18" s="26">
        <f t="shared" si="0"/>
        <v>0</v>
      </c>
      <c r="F18" s="27">
        <f t="shared" si="1"/>
        <v>0</v>
      </c>
    </row>
    <row r="19" spans="1:6" x14ac:dyDescent="0.2">
      <c r="A19" s="194"/>
      <c r="B19" s="193"/>
      <c r="C19" s="193"/>
      <c r="D19" s="191"/>
      <c r="E19" s="26">
        <f t="shared" si="0"/>
        <v>0</v>
      </c>
      <c r="F19" s="27">
        <f t="shared" si="1"/>
        <v>0</v>
      </c>
    </row>
    <row r="20" spans="1:6" x14ac:dyDescent="0.2">
      <c r="A20" s="194"/>
      <c r="B20" s="194"/>
      <c r="C20" s="194"/>
      <c r="D20" s="194"/>
      <c r="E20" s="26">
        <f t="shared" si="0"/>
        <v>0</v>
      </c>
      <c r="F20" s="27">
        <f t="shared" si="1"/>
        <v>0</v>
      </c>
    </row>
    <row r="21" spans="1:6" x14ac:dyDescent="0.2">
      <c r="A21" s="194"/>
      <c r="B21" s="194"/>
      <c r="C21" s="194"/>
      <c r="D21" s="195"/>
      <c r="E21" s="26">
        <f t="shared" si="0"/>
        <v>0</v>
      </c>
      <c r="F21" s="27">
        <f t="shared" si="1"/>
        <v>0</v>
      </c>
    </row>
    <row r="22" spans="1:6" x14ac:dyDescent="0.2">
      <c r="A22" s="194"/>
      <c r="B22" s="194"/>
      <c r="C22" s="194"/>
      <c r="D22" s="195"/>
      <c r="E22" s="26">
        <f t="shared" si="0"/>
        <v>0</v>
      </c>
      <c r="F22" s="27">
        <f t="shared" si="1"/>
        <v>0</v>
      </c>
    </row>
    <row r="23" spans="1:6" x14ac:dyDescent="0.2">
      <c r="A23" s="3" t="s">
        <v>63</v>
      </c>
      <c r="B23" s="28"/>
      <c r="C23" s="28"/>
      <c r="D23" s="22">
        <f>SUM(D3:D19)</f>
        <v>167</v>
      </c>
      <c r="E23" s="28" t="s">
        <v>26</v>
      </c>
      <c r="F23" s="29" t="s">
        <v>26</v>
      </c>
    </row>
  </sheetData>
  <sheetProtection sheet="1" objects="1" scenarios="1"/>
  <autoFilter ref="A2:F22" xr:uid="{00000000-0009-0000-0000-000002000000}">
    <sortState xmlns:xlrd2="http://schemas.microsoft.com/office/spreadsheetml/2017/richdata2" ref="A2:F22">
      <sortCondition descending="1" ref="D2:D22"/>
      <sortCondition ref="A2:A22"/>
    </sortState>
  </autoFilter>
  <mergeCells count="1">
    <mergeCell ref="A1:F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Receitas">
    <outlinePr summaryBelow="0" summaryRight="0"/>
  </sheetPr>
  <dimension ref="A1:O37"/>
  <sheetViews>
    <sheetView showGridLines="0" workbookViewId="0">
      <selection activeCell="A7" sqref="A7:B7"/>
    </sheetView>
  </sheetViews>
  <sheetFormatPr defaultColWidth="12.5703125" defaultRowHeight="15.75" customHeight="1" x14ac:dyDescent="0.2"/>
  <cols>
    <col min="4" max="4" width="2.85546875" customWidth="1"/>
    <col min="5" max="5" width="14.5703125" customWidth="1"/>
    <col min="8" max="8" width="2.7109375" customWidth="1"/>
    <col min="12" max="12" width="4.28515625" customWidth="1"/>
    <col min="13" max="13" width="14" customWidth="1"/>
  </cols>
  <sheetData>
    <row r="1" spans="1:15" ht="12.75" x14ac:dyDescent="0.2">
      <c r="A1" s="172" t="s">
        <v>64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4"/>
    </row>
    <row r="2" spans="1:15" ht="12.75" x14ac:dyDescent="0.2">
      <c r="A2" s="175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76"/>
    </row>
    <row r="3" spans="1:15" ht="12.75" x14ac:dyDescent="0.2">
      <c r="A3" s="169" t="s">
        <v>9</v>
      </c>
      <c r="B3" s="170"/>
      <c r="C3" s="171"/>
      <c r="D3" s="137"/>
      <c r="E3" s="169" t="s">
        <v>65</v>
      </c>
      <c r="F3" s="170"/>
      <c r="G3" s="171"/>
      <c r="H3" s="137"/>
      <c r="I3" s="169" t="s">
        <v>66</v>
      </c>
      <c r="J3" s="170"/>
      <c r="K3" s="171"/>
      <c r="L3" s="137"/>
      <c r="M3" s="169" t="s">
        <v>67</v>
      </c>
      <c r="N3" s="170"/>
      <c r="O3" s="171"/>
    </row>
    <row r="4" spans="1:15" ht="12.75" x14ac:dyDescent="0.2">
      <c r="A4" s="138" t="s">
        <v>68</v>
      </c>
      <c r="B4" s="139" t="s">
        <v>69</v>
      </c>
      <c r="C4" s="138" t="s">
        <v>11</v>
      </c>
      <c r="D4" s="137"/>
      <c r="E4" s="138" t="s">
        <v>68</v>
      </c>
      <c r="F4" s="139" t="s">
        <v>70</v>
      </c>
      <c r="G4" s="138" t="s">
        <v>11</v>
      </c>
      <c r="H4" s="137"/>
      <c r="I4" s="140" t="s">
        <v>68</v>
      </c>
      <c r="J4" s="139" t="s">
        <v>70</v>
      </c>
      <c r="K4" s="140" t="s">
        <v>11</v>
      </c>
      <c r="L4" s="137"/>
      <c r="M4" s="138" t="s">
        <v>68</v>
      </c>
      <c r="N4" s="139" t="s">
        <v>70</v>
      </c>
      <c r="O4" s="138" t="s">
        <v>11</v>
      </c>
    </row>
    <row r="5" spans="1:15" ht="12.75" x14ac:dyDescent="0.2">
      <c r="A5" s="18" t="s">
        <v>53</v>
      </c>
      <c r="B5" s="196">
        <v>1000</v>
      </c>
      <c r="C5" s="31">
        <f t="shared" ref="C5:C10" si="0">VLOOKUP(A5,Ingredientes,6,FALSE)*B5</f>
        <v>4</v>
      </c>
      <c r="E5" s="18" t="s">
        <v>59</v>
      </c>
      <c r="F5" s="196">
        <v>150</v>
      </c>
      <c r="G5" s="31">
        <f t="shared" ref="G5:G11" si="1">VLOOKUP(E5,Ingredientes,6,FALSE)*F5</f>
        <v>4</v>
      </c>
      <c r="I5" s="18" t="s">
        <v>59</v>
      </c>
      <c r="J5" s="196">
        <v>100</v>
      </c>
      <c r="K5" s="31">
        <f t="shared" ref="K5:K10" si="2">VLOOKUP(I5,Ingredientes,6,FALSE)*J5</f>
        <v>2.666666666666667</v>
      </c>
      <c r="M5" s="18" t="s">
        <v>71</v>
      </c>
      <c r="N5" s="196">
        <v>150</v>
      </c>
      <c r="O5" s="31">
        <f>VLOOKUP(M5,Ingredientes,6,0)*N5</f>
        <v>4</v>
      </c>
    </row>
    <row r="6" spans="1:15" ht="12.75" x14ac:dyDescent="0.2">
      <c r="A6" s="18" t="s">
        <v>62</v>
      </c>
      <c r="B6" s="196">
        <v>400</v>
      </c>
      <c r="C6" s="31">
        <f t="shared" si="0"/>
        <v>0.53333333333333333</v>
      </c>
      <c r="E6" s="18" t="s">
        <v>50</v>
      </c>
      <c r="F6" s="196">
        <v>350</v>
      </c>
      <c r="G6" s="31">
        <f t="shared" si="1"/>
        <v>5.045045045045045</v>
      </c>
      <c r="I6" s="18" t="s">
        <v>50</v>
      </c>
      <c r="J6" s="196">
        <v>350</v>
      </c>
      <c r="K6" s="31">
        <f t="shared" si="2"/>
        <v>5.045045045045045</v>
      </c>
      <c r="M6" s="18" t="s">
        <v>72</v>
      </c>
      <c r="N6" s="196">
        <v>350</v>
      </c>
      <c r="O6" s="31">
        <f>VLOOKUP(M6,Ingredientes,6,0)*N6</f>
        <v>5.045045045045045</v>
      </c>
    </row>
    <row r="7" spans="1:15" ht="12.75" x14ac:dyDescent="0.2">
      <c r="A7" s="18" t="s">
        <v>56</v>
      </c>
      <c r="B7" s="196">
        <v>4</v>
      </c>
      <c r="C7" s="31">
        <f t="shared" si="0"/>
        <v>1.6666666666666667</v>
      </c>
      <c r="E7" s="18" t="s">
        <v>54</v>
      </c>
      <c r="F7" s="196">
        <v>150</v>
      </c>
      <c r="G7" s="31">
        <f t="shared" si="1"/>
        <v>3</v>
      </c>
      <c r="I7" s="18" t="s">
        <v>57</v>
      </c>
      <c r="J7" s="196">
        <v>100</v>
      </c>
      <c r="K7" s="31">
        <f t="shared" si="2"/>
        <v>2.25</v>
      </c>
      <c r="M7" s="18" t="s">
        <v>55</v>
      </c>
      <c r="N7" s="196">
        <v>150</v>
      </c>
      <c r="O7" s="31">
        <f>VLOOKUP(M7,Ingredientes,6,0)*N7</f>
        <v>3.9473684210526314</v>
      </c>
    </row>
    <row r="8" spans="1:15" ht="12.75" x14ac:dyDescent="0.2">
      <c r="A8" s="18" t="s">
        <v>61</v>
      </c>
      <c r="B8" s="196">
        <v>25</v>
      </c>
      <c r="C8" s="31">
        <f t="shared" si="0"/>
        <v>1.25</v>
      </c>
      <c r="E8" s="18" t="s">
        <v>73</v>
      </c>
      <c r="F8" s="196">
        <v>25</v>
      </c>
      <c r="G8" s="31">
        <f t="shared" si="1"/>
        <v>0.5</v>
      </c>
      <c r="I8" s="18" t="s">
        <v>73</v>
      </c>
      <c r="J8" s="196">
        <v>25</v>
      </c>
      <c r="K8" s="31">
        <f t="shared" si="2"/>
        <v>0.5</v>
      </c>
      <c r="M8" s="18" t="s">
        <v>49</v>
      </c>
      <c r="N8" s="196">
        <v>50</v>
      </c>
      <c r="O8" s="31">
        <f>VLOOKUP(M8,Ingredientes,6,0)*N8</f>
        <v>2.75</v>
      </c>
    </row>
    <row r="9" spans="1:15" ht="12.75" x14ac:dyDescent="0.2">
      <c r="A9" s="18" t="s">
        <v>54</v>
      </c>
      <c r="B9" s="196">
        <v>150</v>
      </c>
      <c r="C9" s="31">
        <f t="shared" si="0"/>
        <v>3</v>
      </c>
      <c r="E9" s="18" t="s">
        <v>49</v>
      </c>
      <c r="F9" s="196">
        <v>50</v>
      </c>
      <c r="G9" s="31">
        <f t="shared" si="1"/>
        <v>2.75</v>
      </c>
      <c r="I9" s="18" t="s">
        <v>51</v>
      </c>
      <c r="J9" s="196">
        <v>200</v>
      </c>
      <c r="K9" s="31">
        <f t="shared" si="2"/>
        <v>1.5</v>
      </c>
      <c r="L9" s="32"/>
      <c r="M9" s="30" t="s">
        <v>74</v>
      </c>
      <c r="N9" s="26" t="s">
        <v>26</v>
      </c>
      <c r="O9" s="33">
        <f>SUM(O5:O8)</f>
        <v>15.742413466097677</v>
      </c>
    </row>
    <row r="10" spans="1:15" ht="12.75" x14ac:dyDescent="0.2">
      <c r="A10" s="18" t="s">
        <v>75</v>
      </c>
      <c r="B10" s="196">
        <v>3</v>
      </c>
      <c r="C10" s="31">
        <f t="shared" si="0"/>
        <v>1.6</v>
      </c>
      <c r="E10" s="18" t="s">
        <v>51</v>
      </c>
      <c r="F10" s="196">
        <v>200</v>
      </c>
      <c r="G10" s="31">
        <f t="shared" si="1"/>
        <v>1.5</v>
      </c>
      <c r="I10" s="18" t="s">
        <v>15</v>
      </c>
      <c r="J10" s="196">
        <v>90</v>
      </c>
      <c r="K10" s="31">
        <f t="shared" si="2"/>
        <v>3</v>
      </c>
    </row>
    <row r="11" spans="1:15" ht="12.75" x14ac:dyDescent="0.2">
      <c r="A11" s="26" t="s">
        <v>25</v>
      </c>
      <c r="B11" s="30" t="s">
        <v>26</v>
      </c>
      <c r="C11" s="33">
        <f>SUM(C5:C10)</f>
        <v>12.049999999999999</v>
      </c>
      <c r="E11" s="18" t="s">
        <v>52</v>
      </c>
      <c r="F11" s="196">
        <v>90</v>
      </c>
      <c r="G11" s="31">
        <f t="shared" si="1"/>
        <v>2.6999999999999997</v>
      </c>
      <c r="I11" s="28" t="s">
        <v>25</v>
      </c>
      <c r="J11" s="34" t="s">
        <v>26</v>
      </c>
      <c r="K11" s="33">
        <f>SUM(K5:K10)</f>
        <v>14.961711711711711</v>
      </c>
    </row>
    <row r="12" spans="1:15" ht="12.75" x14ac:dyDescent="0.2">
      <c r="E12" s="30" t="s">
        <v>25</v>
      </c>
      <c r="F12" s="30" t="s">
        <v>26</v>
      </c>
      <c r="G12" s="35">
        <f>SUM(G5:G11)</f>
        <v>19.495045045045043</v>
      </c>
    </row>
    <row r="13" spans="1:15" ht="12.75" x14ac:dyDescent="0.2">
      <c r="A13" s="36"/>
    </row>
    <row r="14" spans="1:15" ht="12.75" x14ac:dyDescent="0.2">
      <c r="A14" s="36"/>
    </row>
    <row r="15" spans="1:15" ht="12.75" x14ac:dyDescent="0.2">
      <c r="A15" s="36"/>
    </row>
    <row r="24" spans="1:2" ht="15.75" customHeight="1" x14ac:dyDescent="0.2">
      <c r="A24" s="55"/>
      <c r="B24" s="55"/>
    </row>
    <row r="25" spans="1:2" ht="15.75" customHeight="1" x14ac:dyDescent="0.2">
      <c r="A25" s="55"/>
      <c r="B25" s="55"/>
    </row>
    <row r="26" spans="1:2" ht="15.75" customHeight="1" x14ac:dyDescent="0.2">
      <c r="A26" s="141">
        <v>1</v>
      </c>
      <c r="B26" s="51" t="s">
        <v>103</v>
      </c>
    </row>
    <row r="27" spans="1:2" ht="15.75" customHeight="1" x14ac:dyDescent="0.2">
      <c r="A27" s="141">
        <v>2</v>
      </c>
      <c r="B27" s="51" t="s">
        <v>104</v>
      </c>
    </row>
    <row r="28" spans="1:2" ht="15.75" customHeight="1" x14ac:dyDescent="0.2">
      <c r="A28" s="141">
        <v>3</v>
      </c>
      <c r="B28" s="51" t="s">
        <v>105</v>
      </c>
    </row>
    <row r="29" spans="1:2" ht="15.75" customHeight="1" x14ac:dyDescent="0.2">
      <c r="A29" s="141">
        <v>4</v>
      </c>
      <c r="B29" s="51" t="s">
        <v>106</v>
      </c>
    </row>
    <row r="30" spans="1:2" ht="15.75" customHeight="1" x14ac:dyDescent="0.2">
      <c r="A30" s="141">
        <v>5</v>
      </c>
      <c r="B30" s="51" t="s">
        <v>107</v>
      </c>
    </row>
    <row r="31" spans="1:2" ht="15.75" customHeight="1" x14ac:dyDescent="0.2">
      <c r="A31" s="141">
        <v>6</v>
      </c>
      <c r="B31" s="51" t="s">
        <v>108</v>
      </c>
    </row>
    <row r="32" spans="1:2" ht="15.75" customHeight="1" x14ac:dyDescent="0.2">
      <c r="A32" s="141">
        <v>7</v>
      </c>
      <c r="B32" s="51" t="s">
        <v>109</v>
      </c>
    </row>
    <row r="33" spans="1:2" ht="15.75" customHeight="1" x14ac:dyDescent="0.2">
      <c r="A33" s="141">
        <v>8</v>
      </c>
      <c r="B33" s="51" t="s">
        <v>110</v>
      </c>
    </row>
    <row r="34" spans="1:2" ht="15.75" customHeight="1" x14ac:dyDescent="0.2">
      <c r="A34" s="141">
        <v>9</v>
      </c>
      <c r="B34" s="51" t="s">
        <v>111</v>
      </c>
    </row>
    <row r="35" spans="1:2" ht="15.75" customHeight="1" x14ac:dyDescent="0.2">
      <c r="A35" s="141">
        <v>10</v>
      </c>
      <c r="B35" s="51" t="s">
        <v>112</v>
      </c>
    </row>
    <row r="36" spans="1:2" ht="15.75" customHeight="1" x14ac:dyDescent="0.2">
      <c r="A36" s="141">
        <v>11</v>
      </c>
      <c r="B36" s="51" t="s">
        <v>113</v>
      </c>
    </row>
    <row r="37" spans="1:2" ht="15.75" customHeight="1" x14ac:dyDescent="0.2">
      <c r="A37" s="141">
        <v>12</v>
      </c>
      <c r="B37" s="51" t="s">
        <v>114</v>
      </c>
    </row>
  </sheetData>
  <sheetProtection sheet="1" objects="1" scenarios="1"/>
  <mergeCells count="5">
    <mergeCell ref="A3:C3"/>
    <mergeCell ref="E3:G3"/>
    <mergeCell ref="I3:K3"/>
    <mergeCell ref="M3:O3"/>
    <mergeCell ref="A1:O2"/>
  </mergeCells>
  <phoneticPr fontId="14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285EF-4BA5-42C8-8C21-8E8836E453C7}">
  <sheetPr codeName="ShtRegVendas"/>
  <dimension ref="A1:L67"/>
  <sheetViews>
    <sheetView showGridLines="0" tabSelected="1" workbookViewId="0">
      <selection activeCell="L24" sqref="L24"/>
    </sheetView>
  </sheetViews>
  <sheetFormatPr defaultRowHeight="12.75" x14ac:dyDescent="0.2"/>
  <cols>
    <col min="1" max="1" width="10.140625" style="47" bestFit="1" customWidth="1"/>
    <col min="4" max="4" width="19.140625" bestFit="1" customWidth="1"/>
    <col min="7" max="7" width="10.140625" style="47" bestFit="1" customWidth="1"/>
    <col min="8" max="8" width="12.85546875" bestFit="1" customWidth="1"/>
  </cols>
  <sheetData>
    <row r="1" spans="1:12" x14ac:dyDescent="0.2">
      <c r="A1" s="197" t="s">
        <v>0</v>
      </c>
      <c r="B1" s="197"/>
      <c r="C1" s="197"/>
      <c r="D1" s="197"/>
      <c r="E1" s="197"/>
      <c r="G1" s="197" t="s">
        <v>92</v>
      </c>
      <c r="H1" s="197"/>
      <c r="I1" s="197"/>
    </row>
    <row r="2" spans="1:12" x14ac:dyDescent="0.2">
      <c r="A2" s="84" t="s">
        <v>29</v>
      </c>
      <c r="B2" s="16" t="s">
        <v>30</v>
      </c>
      <c r="C2" s="16" t="s">
        <v>31</v>
      </c>
      <c r="D2" s="16" t="s">
        <v>32</v>
      </c>
      <c r="E2" s="17" t="s">
        <v>33</v>
      </c>
      <c r="G2" s="82" t="s">
        <v>29</v>
      </c>
      <c r="H2" s="81" t="s">
        <v>91</v>
      </c>
      <c r="I2" s="80" t="s">
        <v>33</v>
      </c>
      <c r="K2" s="83"/>
      <c r="L2" s="83"/>
    </row>
    <row r="3" spans="1:12" x14ac:dyDescent="0.2">
      <c r="A3" s="120">
        <v>42546</v>
      </c>
      <c r="B3" s="121" t="s">
        <v>41</v>
      </c>
      <c r="C3" s="122">
        <v>1</v>
      </c>
      <c r="D3" s="121" t="s">
        <v>38</v>
      </c>
      <c r="E3" s="123">
        <v>1</v>
      </c>
      <c r="G3" s="47">
        <v>37646</v>
      </c>
      <c r="H3">
        <v>6</v>
      </c>
      <c r="I3">
        <v>218.56334281650069</v>
      </c>
    </row>
    <row r="4" spans="1:12" x14ac:dyDescent="0.2">
      <c r="A4" s="120">
        <v>42547</v>
      </c>
      <c r="B4" s="121" t="s">
        <v>34</v>
      </c>
      <c r="C4" s="122">
        <v>2</v>
      </c>
      <c r="D4" s="121" t="s">
        <v>35</v>
      </c>
      <c r="E4" s="124">
        <v>2</v>
      </c>
      <c r="G4" s="47">
        <v>37646</v>
      </c>
      <c r="H4">
        <v>6</v>
      </c>
      <c r="I4">
        <v>218.56334281650069</v>
      </c>
    </row>
    <row r="5" spans="1:12" x14ac:dyDescent="0.2">
      <c r="A5" s="120">
        <v>42548</v>
      </c>
      <c r="B5" s="121" t="s">
        <v>37</v>
      </c>
      <c r="C5" s="122">
        <v>3</v>
      </c>
      <c r="D5" s="121" t="s">
        <v>35</v>
      </c>
      <c r="E5" s="124">
        <v>3</v>
      </c>
      <c r="G5" s="47">
        <v>37646</v>
      </c>
      <c r="H5">
        <v>6</v>
      </c>
      <c r="I5">
        <v>218.56334281650069</v>
      </c>
    </row>
    <row r="6" spans="1:12" x14ac:dyDescent="0.2">
      <c r="A6" s="120">
        <v>42822</v>
      </c>
      <c r="B6" s="121" t="s">
        <v>41</v>
      </c>
      <c r="C6" s="122">
        <v>4</v>
      </c>
      <c r="D6" s="121" t="s">
        <v>39</v>
      </c>
      <c r="E6" s="124">
        <v>4</v>
      </c>
      <c r="G6" s="47">
        <v>37646</v>
      </c>
      <c r="H6">
        <v>6</v>
      </c>
      <c r="I6">
        <v>218.56334281650069</v>
      </c>
      <c r="L6" s="55"/>
    </row>
    <row r="7" spans="1:12" x14ac:dyDescent="0.2">
      <c r="A7" s="120">
        <v>42915</v>
      </c>
      <c r="B7" s="121" t="s">
        <v>41</v>
      </c>
      <c r="C7" s="122">
        <v>5</v>
      </c>
      <c r="D7" s="121" t="s">
        <v>38</v>
      </c>
      <c r="E7" s="124">
        <v>56</v>
      </c>
      <c r="G7" s="47">
        <v>37766</v>
      </c>
      <c r="H7">
        <v>6</v>
      </c>
      <c r="I7">
        <v>218.56334281650069</v>
      </c>
      <c r="K7" s="55"/>
      <c r="L7" s="55"/>
    </row>
    <row r="8" spans="1:12" x14ac:dyDescent="0.2">
      <c r="A8" s="120">
        <v>42916</v>
      </c>
      <c r="B8" s="125" t="s">
        <v>39</v>
      </c>
      <c r="C8" s="122">
        <v>6</v>
      </c>
      <c r="D8" s="125" t="s">
        <v>38</v>
      </c>
      <c r="E8" s="126">
        <v>6</v>
      </c>
      <c r="G8" s="47">
        <v>37797</v>
      </c>
      <c r="H8">
        <v>6</v>
      </c>
      <c r="I8">
        <v>218.56334281650069</v>
      </c>
      <c r="K8" s="55"/>
      <c r="L8" s="55"/>
    </row>
    <row r="9" spans="1:12" x14ac:dyDescent="0.2">
      <c r="A9" s="120">
        <v>42917</v>
      </c>
      <c r="B9" s="125" t="s">
        <v>41</v>
      </c>
      <c r="C9" s="122">
        <v>7</v>
      </c>
      <c r="D9" s="125" t="s">
        <v>39</v>
      </c>
      <c r="E9" s="126">
        <v>1</v>
      </c>
      <c r="G9" s="47">
        <v>37797</v>
      </c>
      <c r="H9">
        <v>6</v>
      </c>
      <c r="I9">
        <v>218.56334281650069</v>
      </c>
      <c r="K9" s="55"/>
      <c r="L9" s="55"/>
    </row>
    <row r="10" spans="1:12" x14ac:dyDescent="0.2">
      <c r="A10" s="120">
        <v>37636</v>
      </c>
      <c r="B10" s="121" t="s">
        <v>37</v>
      </c>
      <c r="C10" s="122">
        <v>1</v>
      </c>
      <c r="D10" s="121" t="s">
        <v>35</v>
      </c>
      <c r="E10" s="123">
        <v>20</v>
      </c>
      <c r="G10" s="47">
        <v>37797</v>
      </c>
      <c r="H10">
        <v>6</v>
      </c>
      <c r="I10">
        <v>218.56334281650069</v>
      </c>
      <c r="K10" s="55"/>
      <c r="L10" s="55"/>
    </row>
    <row r="11" spans="1:12" x14ac:dyDescent="0.2">
      <c r="A11" s="120">
        <v>37637</v>
      </c>
      <c r="B11" s="121" t="s">
        <v>41</v>
      </c>
      <c r="C11" s="122">
        <v>2</v>
      </c>
      <c r="D11" s="121" t="s">
        <v>38</v>
      </c>
      <c r="E11" s="124">
        <v>13</v>
      </c>
      <c r="G11" s="47">
        <v>37797</v>
      </c>
      <c r="H11">
        <v>6</v>
      </c>
      <c r="I11">
        <v>218.56334281650069</v>
      </c>
      <c r="K11" s="55"/>
      <c r="L11" s="55"/>
    </row>
    <row r="12" spans="1:12" x14ac:dyDescent="0.2">
      <c r="A12" s="120">
        <v>37638</v>
      </c>
      <c r="B12" s="121" t="s">
        <v>37</v>
      </c>
      <c r="C12" s="122">
        <v>3</v>
      </c>
      <c r="D12" s="121" t="s">
        <v>38</v>
      </c>
      <c r="E12" s="124">
        <v>15</v>
      </c>
      <c r="G12" s="47">
        <v>37797</v>
      </c>
      <c r="H12">
        <v>6</v>
      </c>
      <c r="I12">
        <v>218.56334281650069</v>
      </c>
      <c r="K12" s="55"/>
      <c r="L12" s="55"/>
    </row>
    <row r="13" spans="1:12" x14ac:dyDescent="0.2">
      <c r="A13" s="120">
        <v>37639</v>
      </c>
      <c r="B13" s="121" t="s">
        <v>41</v>
      </c>
      <c r="C13" s="122">
        <v>3</v>
      </c>
      <c r="D13" s="121" t="s">
        <v>38</v>
      </c>
      <c r="E13" s="124">
        <v>20</v>
      </c>
      <c r="K13" s="55"/>
      <c r="L13" s="55"/>
    </row>
    <row r="14" spans="1:12" x14ac:dyDescent="0.2">
      <c r="A14" s="120">
        <v>37640</v>
      </c>
      <c r="B14" s="121" t="s">
        <v>37</v>
      </c>
      <c r="C14" s="122">
        <v>3</v>
      </c>
      <c r="D14" s="121" t="s">
        <v>35</v>
      </c>
      <c r="E14" s="124">
        <v>15</v>
      </c>
      <c r="K14" s="55"/>
      <c r="L14" s="55"/>
    </row>
    <row r="15" spans="1:12" x14ac:dyDescent="0.2">
      <c r="A15" s="120">
        <v>37641</v>
      </c>
      <c r="B15" s="125" t="s">
        <v>41</v>
      </c>
      <c r="C15" s="122">
        <v>3</v>
      </c>
      <c r="D15" s="125" t="s">
        <v>39</v>
      </c>
      <c r="E15" s="126">
        <v>10</v>
      </c>
    </row>
    <row r="16" spans="1:12" x14ac:dyDescent="0.2">
      <c r="A16" s="120">
        <v>37636</v>
      </c>
      <c r="B16" s="121" t="s">
        <v>37</v>
      </c>
      <c r="C16" s="122">
        <v>1</v>
      </c>
      <c r="D16" s="121" t="s">
        <v>35</v>
      </c>
      <c r="E16" s="123">
        <v>20</v>
      </c>
    </row>
    <row r="17" spans="1:5" x14ac:dyDescent="0.2">
      <c r="A17" s="120">
        <v>37637</v>
      </c>
      <c r="B17" s="121" t="s">
        <v>41</v>
      </c>
      <c r="C17" s="122">
        <v>2</v>
      </c>
      <c r="D17" s="121" t="s">
        <v>38</v>
      </c>
      <c r="E17" s="124">
        <v>13</v>
      </c>
    </row>
    <row r="18" spans="1:5" x14ac:dyDescent="0.2">
      <c r="A18" s="120">
        <v>37638</v>
      </c>
      <c r="B18" s="121" t="s">
        <v>37</v>
      </c>
      <c r="C18" s="122">
        <v>3</v>
      </c>
      <c r="D18" s="121" t="s">
        <v>38</v>
      </c>
      <c r="E18" s="124">
        <v>15</v>
      </c>
    </row>
    <row r="19" spans="1:5" x14ac:dyDescent="0.2">
      <c r="A19" s="120">
        <v>37639</v>
      </c>
      <c r="B19" s="121" t="s">
        <v>41</v>
      </c>
      <c r="C19" s="122">
        <v>3</v>
      </c>
      <c r="D19" s="121" t="s">
        <v>38</v>
      </c>
      <c r="E19" s="124">
        <v>20</v>
      </c>
    </row>
    <row r="20" spans="1:5" x14ac:dyDescent="0.2">
      <c r="A20" s="120">
        <v>37640</v>
      </c>
      <c r="B20" s="121" t="s">
        <v>37</v>
      </c>
      <c r="C20" s="122">
        <v>3</v>
      </c>
      <c r="D20" s="121" t="s">
        <v>35</v>
      </c>
      <c r="E20" s="124">
        <v>15</v>
      </c>
    </row>
    <row r="21" spans="1:5" x14ac:dyDescent="0.2">
      <c r="A21" s="120">
        <v>37641</v>
      </c>
      <c r="B21" s="125" t="s">
        <v>41</v>
      </c>
      <c r="C21" s="122">
        <v>3</v>
      </c>
      <c r="D21" s="125" t="s">
        <v>39</v>
      </c>
      <c r="E21" s="126">
        <v>10</v>
      </c>
    </row>
    <row r="22" spans="1:5" x14ac:dyDescent="0.2">
      <c r="A22" s="120">
        <v>37636</v>
      </c>
      <c r="B22" s="121" t="s">
        <v>37</v>
      </c>
      <c r="C22" s="122">
        <v>1</v>
      </c>
      <c r="D22" s="121" t="s">
        <v>35</v>
      </c>
      <c r="E22" s="123">
        <v>20</v>
      </c>
    </row>
    <row r="23" spans="1:5" x14ac:dyDescent="0.2">
      <c r="A23" s="120">
        <v>37637</v>
      </c>
      <c r="B23" s="121" t="s">
        <v>41</v>
      </c>
      <c r="C23" s="122">
        <v>2</v>
      </c>
      <c r="D23" s="121" t="s">
        <v>38</v>
      </c>
      <c r="E23" s="124">
        <v>13</v>
      </c>
    </row>
    <row r="24" spans="1:5" x14ac:dyDescent="0.2">
      <c r="A24" s="120">
        <v>37638</v>
      </c>
      <c r="B24" s="121" t="s">
        <v>37</v>
      </c>
      <c r="C24" s="122">
        <v>3</v>
      </c>
      <c r="D24" s="121" t="s">
        <v>38</v>
      </c>
      <c r="E24" s="124">
        <v>15</v>
      </c>
    </row>
    <row r="25" spans="1:5" x14ac:dyDescent="0.2">
      <c r="A25" s="120">
        <v>37639</v>
      </c>
      <c r="B25" s="121" t="s">
        <v>41</v>
      </c>
      <c r="C25" s="122">
        <v>3</v>
      </c>
      <c r="D25" s="121" t="s">
        <v>38</v>
      </c>
      <c r="E25" s="124">
        <v>20</v>
      </c>
    </row>
    <row r="26" spans="1:5" x14ac:dyDescent="0.2">
      <c r="A26" s="120">
        <v>37640</v>
      </c>
      <c r="B26" s="121" t="s">
        <v>37</v>
      </c>
      <c r="C26" s="122">
        <v>3</v>
      </c>
      <c r="D26" s="121" t="s">
        <v>35</v>
      </c>
      <c r="E26" s="124">
        <v>15</v>
      </c>
    </row>
    <row r="27" spans="1:5" x14ac:dyDescent="0.2">
      <c r="A27" s="120">
        <v>37641</v>
      </c>
      <c r="B27" s="125" t="s">
        <v>41</v>
      </c>
      <c r="C27" s="122">
        <v>3</v>
      </c>
      <c r="D27" s="125" t="s">
        <v>39</v>
      </c>
      <c r="E27" s="126">
        <v>10</v>
      </c>
    </row>
    <row r="28" spans="1:5" x14ac:dyDescent="0.2">
      <c r="A28" s="120"/>
      <c r="B28" s="125"/>
      <c r="C28" s="122"/>
      <c r="D28" s="125"/>
      <c r="E28" s="126"/>
    </row>
    <row r="29" spans="1:5" x14ac:dyDescent="0.2">
      <c r="A29" s="125"/>
      <c r="B29" s="125"/>
      <c r="C29" s="125"/>
      <c r="D29" s="125"/>
      <c r="E29" s="126"/>
    </row>
    <row r="30" spans="1:5" x14ac:dyDescent="0.2">
      <c r="A30" s="125"/>
      <c r="B30" s="125"/>
      <c r="C30" s="125"/>
      <c r="D30" s="125"/>
      <c r="E30" s="126"/>
    </row>
    <row r="31" spans="1:5" x14ac:dyDescent="0.2">
      <c r="A31" s="125"/>
      <c r="B31" s="125"/>
      <c r="C31" s="125"/>
      <c r="D31" s="125"/>
      <c r="E31" s="126"/>
    </row>
    <row r="32" spans="1:5" x14ac:dyDescent="0.2">
      <c r="A32" s="125"/>
      <c r="B32" s="125"/>
      <c r="C32" s="125"/>
      <c r="D32" s="125"/>
      <c r="E32" s="126"/>
    </row>
    <row r="33" spans="1:6" x14ac:dyDescent="0.2">
      <c r="A33" s="125"/>
      <c r="B33" s="125"/>
      <c r="C33" s="125"/>
      <c r="D33" s="125"/>
      <c r="E33" s="126"/>
    </row>
    <row r="34" spans="1:6" x14ac:dyDescent="0.2">
      <c r="A34" s="125"/>
      <c r="B34" s="125"/>
      <c r="C34" s="125"/>
      <c r="D34" s="125"/>
      <c r="E34" s="126"/>
    </row>
    <row r="46" spans="1:6" x14ac:dyDescent="0.2">
      <c r="B46" t="s">
        <v>93</v>
      </c>
      <c r="C46">
        <v>5</v>
      </c>
    </row>
    <row r="47" spans="1:6" x14ac:dyDescent="0.2">
      <c r="B47" t="s">
        <v>94</v>
      </c>
    </row>
    <row r="48" spans="1:6" x14ac:dyDescent="0.2">
      <c r="B48" t="s">
        <v>36</v>
      </c>
      <c r="C48" t="s">
        <v>31</v>
      </c>
      <c r="D48" t="s">
        <v>33</v>
      </c>
      <c r="E48" t="s">
        <v>97</v>
      </c>
      <c r="F48">
        <v>291</v>
      </c>
    </row>
    <row r="49" spans="2:6" x14ac:dyDescent="0.2">
      <c r="B49" t="s">
        <v>35</v>
      </c>
      <c r="C49">
        <v>3</v>
      </c>
      <c r="D49">
        <v>0</v>
      </c>
      <c r="E49" t="s">
        <v>98</v>
      </c>
      <c r="F49">
        <v>80</v>
      </c>
    </row>
    <row r="50" spans="2:6" x14ac:dyDescent="0.2">
      <c r="B50" t="s">
        <v>38</v>
      </c>
      <c r="C50">
        <v>8</v>
      </c>
      <c r="D50">
        <v>315</v>
      </c>
      <c r="E50" t="s">
        <v>99</v>
      </c>
      <c r="F50">
        <v>211</v>
      </c>
    </row>
    <row r="51" spans="2:6" x14ac:dyDescent="0.2">
      <c r="B51" t="s">
        <v>39</v>
      </c>
      <c r="C51">
        <v>7</v>
      </c>
      <c r="D51">
        <v>1750</v>
      </c>
    </row>
    <row r="52" spans="2:6" x14ac:dyDescent="0.2">
      <c r="B52" t="s">
        <v>25</v>
      </c>
      <c r="C52">
        <v>18</v>
      </c>
      <c r="D52">
        <v>2065</v>
      </c>
    </row>
    <row r="53" spans="2:6" x14ac:dyDescent="0.2">
      <c r="B53" t="s">
        <v>40</v>
      </c>
      <c r="C53" t="s">
        <v>31</v>
      </c>
      <c r="D53" t="s">
        <v>33</v>
      </c>
    </row>
    <row r="54" spans="2:6" x14ac:dyDescent="0.2">
      <c r="B54" t="s">
        <v>34</v>
      </c>
      <c r="C54">
        <v>3</v>
      </c>
      <c r="D54">
        <v>0</v>
      </c>
    </row>
    <row r="55" spans="2:6" x14ac:dyDescent="0.2">
      <c r="B55" t="s">
        <v>37</v>
      </c>
      <c r="C55">
        <v>22</v>
      </c>
      <c r="D55">
        <v>315</v>
      </c>
    </row>
    <row r="56" spans="2:6" x14ac:dyDescent="0.2">
      <c r="B56" t="s">
        <v>41</v>
      </c>
      <c r="C56">
        <v>2</v>
      </c>
      <c r="D56">
        <v>0</v>
      </c>
    </row>
    <row r="57" spans="2:6" x14ac:dyDescent="0.2">
      <c r="B57" t="s">
        <v>39</v>
      </c>
      <c r="C57">
        <v>53</v>
      </c>
      <c r="D57">
        <v>1750</v>
      </c>
    </row>
    <row r="58" spans="2:6" x14ac:dyDescent="0.2">
      <c r="B58" t="s">
        <v>25</v>
      </c>
      <c r="C58">
        <v>80</v>
      </c>
      <c r="D58">
        <v>2065</v>
      </c>
    </row>
    <row r="59" spans="2:6" x14ac:dyDescent="0.2">
      <c r="B59" t="s">
        <v>23</v>
      </c>
      <c r="C59">
        <v>25.8125</v>
      </c>
    </row>
    <row r="60" spans="2:6" x14ac:dyDescent="0.2">
      <c r="B60" t="s">
        <v>24</v>
      </c>
      <c r="C60">
        <v>2065</v>
      </c>
    </row>
    <row r="61" spans="2:6" x14ac:dyDescent="0.2">
      <c r="B61" t="s">
        <v>27</v>
      </c>
      <c r="C61">
        <v>1148.4674490279754</v>
      </c>
    </row>
    <row r="62" spans="2:6" x14ac:dyDescent="0.2">
      <c r="B62" t="s">
        <v>28</v>
      </c>
      <c r="C62">
        <v>916.53255097202464</v>
      </c>
    </row>
    <row r="66" spans="2:6" x14ac:dyDescent="0.2">
      <c r="B66" t="s">
        <v>96</v>
      </c>
    </row>
    <row r="67" spans="2:6" x14ac:dyDescent="0.2">
      <c r="B67" t="s">
        <v>29</v>
      </c>
      <c r="C67" t="s">
        <v>30</v>
      </c>
      <c r="D67" t="s">
        <v>31</v>
      </c>
      <c r="E67" t="s">
        <v>32</v>
      </c>
      <c r="F67" t="s">
        <v>33</v>
      </c>
    </row>
  </sheetData>
  <mergeCells count="2">
    <mergeCell ref="A1:E1"/>
    <mergeCell ref="G1:I1"/>
  </mergeCells>
  <phoneticPr fontId="11" type="noConversion"/>
  <dataValidations count="1">
    <dataValidation operator="greaterThan" allowBlank="1" showInputMessage="1" showErrorMessage="1" sqref="A2" xr:uid="{572AAE86-FB75-4D7B-9662-5A33A432D8BE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159BD3-58E9-4E1D-AF9A-65C5F259000A}">
          <x14:formula1>
            <xm:f>'2.Relatório Finanças'!$K$13:$K$16</xm:f>
          </x14:formula1>
          <xm:sqref>B3:B34</xm:sqref>
        </x14:dataValidation>
        <x14:dataValidation type="list" allowBlank="1" showInputMessage="1" showErrorMessage="1" xr:uid="{C6EACF78-AA32-4CDF-83FD-287D0227AB96}">
          <x14:formula1>
            <xm:f>'2.Relatório Finanças'!$K$8:$K$10</xm:f>
          </x14:formula1>
          <xm:sqref>D3:D34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EF123-FA4E-476D-ADBC-C34E08EAF76D}">
  <sheetPr codeName="ShtRgst_Batelada"/>
  <dimension ref="A1:T67"/>
  <sheetViews>
    <sheetView showGridLines="0" workbookViewId="0">
      <selection activeCell="N35" sqref="N35"/>
    </sheetView>
  </sheetViews>
  <sheetFormatPr defaultRowHeight="12.75" x14ac:dyDescent="0.2"/>
  <cols>
    <col min="1" max="1" width="10.140625" style="47" bestFit="1" customWidth="1"/>
    <col min="4" max="4" width="15.85546875" bestFit="1" customWidth="1"/>
    <col min="5" max="5" width="8.140625" bestFit="1" customWidth="1"/>
    <col min="6" max="6" width="13.7109375" bestFit="1" customWidth="1"/>
    <col min="7" max="7" width="20.28515625" bestFit="1" customWidth="1"/>
    <col min="8" max="8" width="20.28515625" style="37" customWidth="1"/>
    <col min="9" max="9" width="14.140625" bestFit="1" customWidth="1"/>
    <col min="10" max="11" width="9.5703125" style="58" bestFit="1" customWidth="1"/>
    <col min="12" max="12" width="16" style="58" bestFit="1" customWidth="1"/>
    <col min="13" max="13" width="9.5703125" style="58" bestFit="1" customWidth="1"/>
    <col min="14" max="14" width="13.85546875" style="58" bestFit="1" customWidth="1"/>
    <col min="15" max="15" width="20.42578125" style="58" bestFit="1" customWidth="1"/>
    <col min="16" max="16" width="14.28515625" style="58" bestFit="1" customWidth="1"/>
    <col min="17" max="17" width="11" style="58" bestFit="1" customWidth="1"/>
    <col min="18" max="18" width="11" style="58" customWidth="1"/>
    <col min="19" max="19" width="13.85546875" style="130" bestFit="1" customWidth="1"/>
    <col min="20" max="20" width="10.5703125" style="58" bestFit="1" customWidth="1"/>
  </cols>
  <sheetData>
    <row r="1" spans="1:20" x14ac:dyDescent="0.2">
      <c r="B1" s="153" t="s">
        <v>81</v>
      </c>
      <c r="C1" s="153"/>
      <c r="D1" s="153"/>
      <c r="E1" s="153"/>
      <c r="F1" s="153"/>
      <c r="G1" s="153"/>
      <c r="H1" s="153"/>
      <c r="I1" s="153"/>
      <c r="J1" s="177" t="s">
        <v>11</v>
      </c>
      <c r="K1" s="177"/>
      <c r="L1" s="177"/>
      <c r="M1" s="177"/>
      <c r="N1" s="177"/>
      <c r="O1" s="177"/>
      <c r="P1" s="177"/>
      <c r="Q1" s="177"/>
      <c r="R1" s="177"/>
      <c r="S1" s="177"/>
      <c r="T1" s="177"/>
    </row>
    <row r="2" spans="1:20" x14ac:dyDescent="0.2">
      <c r="A2" s="70" t="s">
        <v>29</v>
      </c>
      <c r="B2" s="48" t="s">
        <v>9</v>
      </c>
      <c r="C2" s="48" t="s">
        <v>14</v>
      </c>
      <c r="D2" s="48" t="s">
        <v>15</v>
      </c>
      <c r="E2" s="48" t="s">
        <v>16</v>
      </c>
      <c r="F2" s="48" t="s">
        <v>77</v>
      </c>
      <c r="G2" s="48" t="s">
        <v>78</v>
      </c>
      <c r="H2" s="48" t="s">
        <v>41</v>
      </c>
      <c r="I2" s="48" t="s">
        <v>82</v>
      </c>
      <c r="J2" s="75" t="s">
        <v>9</v>
      </c>
      <c r="K2" s="75" t="s">
        <v>14</v>
      </c>
      <c r="L2" s="75" t="s">
        <v>15</v>
      </c>
      <c r="M2" s="75" t="s">
        <v>16</v>
      </c>
      <c r="N2" s="75" t="s">
        <v>77</v>
      </c>
      <c r="O2" s="75" t="s">
        <v>78</v>
      </c>
      <c r="P2" s="75" t="s">
        <v>41</v>
      </c>
      <c r="Q2" s="75" t="s">
        <v>79</v>
      </c>
      <c r="R2" s="75" t="s">
        <v>80</v>
      </c>
      <c r="S2" s="129" t="s">
        <v>101</v>
      </c>
      <c r="T2" s="75" t="s">
        <v>25</v>
      </c>
    </row>
    <row r="3" spans="1:20" s="37" customFormat="1" x14ac:dyDescent="0.2">
      <c r="A3" s="47">
        <v>34837</v>
      </c>
      <c r="B3" s="37">
        <v>1</v>
      </c>
      <c r="C3" s="37">
        <v>1</v>
      </c>
      <c r="D3" s="37">
        <v>1</v>
      </c>
      <c r="E3" s="37">
        <v>1</v>
      </c>
      <c r="F3" s="37">
        <v>41</v>
      </c>
      <c r="G3" s="37">
        <v>20</v>
      </c>
      <c r="H3" s="37">
        <v>3</v>
      </c>
      <c r="I3" s="37">
        <v>64</v>
      </c>
      <c r="J3" s="58">
        <v>12.049999999999999</v>
      </c>
      <c r="K3" s="58">
        <v>19.495045045045043</v>
      </c>
      <c r="L3" s="58">
        <v>14.961711711711711</v>
      </c>
      <c r="M3" s="58">
        <v>15.742413466097677</v>
      </c>
      <c r="N3" s="58">
        <v>117.37894918355856</v>
      </c>
      <c r="O3" s="58">
        <v>64.345537725225228</v>
      </c>
      <c r="P3" s="58">
        <v>27.199434380926981</v>
      </c>
      <c r="Q3" s="58">
        <v>128</v>
      </c>
      <c r="R3" s="58">
        <v>18.674751066856331</v>
      </c>
      <c r="S3" s="130"/>
      <c r="T3" s="58">
        <v>208.92392128971076</v>
      </c>
    </row>
    <row r="4" spans="1:20" x14ac:dyDescent="0.2">
      <c r="A4" s="47">
        <v>39227</v>
      </c>
      <c r="B4">
        <v>1</v>
      </c>
      <c r="C4">
        <v>1</v>
      </c>
      <c r="D4">
        <v>1</v>
      </c>
      <c r="E4">
        <v>1</v>
      </c>
      <c r="F4">
        <v>15</v>
      </c>
      <c r="G4">
        <v>10</v>
      </c>
      <c r="H4" s="37">
        <v>15</v>
      </c>
      <c r="I4">
        <v>40</v>
      </c>
      <c r="J4" s="58">
        <v>12.049999999999999</v>
      </c>
      <c r="K4" s="58">
        <v>19.495045045045043</v>
      </c>
      <c r="L4" s="58">
        <v>14.961711711711711</v>
      </c>
      <c r="M4" s="58">
        <v>15.742413466097677</v>
      </c>
      <c r="N4" s="58">
        <v>61.217933558558556</v>
      </c>
      <c r="O4" s="58">
        <v>43.366475225225223</v>
      </c>
      <c r="P4" s="58">
        <v>56.339512505926983</v>
      </c>
      <c r="Q4" s="58">
        <v>80</v>
      </c>
      <c r="R4" s="58">
        <v>18.674751066856331</v>
      </c>
      <c r="T4" s="58">
        <v>160.92392128971076</v>
      </c>
    </row>
    <row r="5" spans="1:20" x14ac:dyDescent="0.2">
      <c r="A5" s="47">
        <v>39227</v>
      </c>
      <c r="B5" s="37">
        <v>1</v>
      </c>
      <c r="C5" s="37">
        <v>1</v>
      </c>
      <c r="D5" s="37">
        <v>1</v>
      </c>
      <c r="E5" s="37">
        <v>1</v>
      </c>
      <c r="F5" s="37">
        <v>15</v>
      </c>
      <c r="G5" s="37">
        <v>10</v>
      </c>
      <c r="H5" s="37">
        <v>15</v>
      </c>
      <c r="I5" s="37">
        <v>40</v>
      </c>
      <c r="J5" s="58">
        <v>12.049999999999999</v>
      </c>
      <c r="K5" s="58">
        <v>19.495045045045043</v>
      </c>
      <c r="L5" s="58">
        <v>14.961711711711711</v>
      </c>
      <c r="M5" s="58">
        <v>15.742413466097677</v>
      </c>
      <c r="N5" s="58">
        <v>61.217933558558556</v>
      </c>
      <c r="O5" s="58">
        <v>43.366475225225223</v>
      </c>
      <c r="P5" s="58">
        <v>56.339512505926983</v>
      </c>
      <c r="Q5" s="58">
        <v>80</v>
      </c>
      <c r="R5" s="58">
        <v>18.674751066856331</v>
      </c>
      <c r="T5" s="58">
        <v>160.92392128971076</v>
      </c>
    </row>
    <row r="6" spans="1:20" x14ac:dyDescent="0.2">
      <c r="A6" s="47">
        <v>38497</v>
      </c>
      <c r="B6">
        <v>1</v>
      </c>
      <c r="C6">
        <v>1</v>
      </c>
      <c r="D6">
        <v>1</v>
      </c>
      <c r="E6">
        <v>1</v>
      </c>
      <c r="F6">
        <v>10</v>
      </c>
      <c r="G6">
        <v>15</v>
      </c>
      <c r="H6" s="37">
        <v>13</v>
      </c>
      <c r="I6">
        <v>38</v>
      </c>
      <c r="J6" s="58">
        <v>12.049999999999999</v>
      </c>
      <c r="K6" s="58">
        <v>19.495045045045043</v>
      </c>
      <c r="L6" s="58">
        <v>14.961711711711711</v>
      </c>
      <c r="M6" s="58">
        <v>15.742413466097677</v>
      </c>
      <c r="N6" s="58">
        <v>49.46592697961119</v>
      </c>
      <c r="O6" s="58">
        <v>55.633777856804173</v>
      </c>
      <c r="P6" s="58">
        <v>51.824216453295399</v>
      </c>
      <c r="Q6" s="58">
        <v>76</v>
      </c>
      <c r="R6" s="58">
        <v>18.674751066856327</v>
      </c>
      <c r="S6" s="130">
        <v>10.461594752647384</v>
      </c>
      <c r="T6" s="58">
        <v>156.92392128971076</v>
      </c>
    </row>
    <row r="7" spans="1:20" x14ac:dyDescent="0.2">
      <c r="A7" s="47">
        <v>38497</v>
      </c>
      <c r="B7">
        <v>1</v>
      </c>
      <c r="C7">
        <v>1</v>
      </c>
      <c r="D7">
        <v>1</v>
      </c>
      <c r="E7">
        <v>1</v>
      </c>
      <c r="F7">
        <v>10</v>
      </c>
      <c r="G7">
        <v>3</v>
      </c>
      <c r="H7" s="37">
        <v>13</v>
      </c>
      <c r="I7">
        <v>26</v>
      </c>
      <c r="J7" s="58">
        <v>12.049999999999999</v>
      </c>
      <c r="K7" s="58">
        <v>19.495045045045043</v>
      </c>
      <c r="L7" s="58">
        <v>14.961711711711711</v>
      </c>
      <c r="M7" s="58">
        <v>15.742413466097677</v>
      </c>
      <c r="N7" s="58">
        <v>51.368558558558554</v>
      </c>
      <c r="O7" s="58">
        <v>27.257725225225222</v>
      </c>
      <c r="P7" s="58">
        <v>54.297637505926978</v>
      </c>
      <c r="Q7" s="58">
        <v>52</v>
      </c>
      <c r="R7" s="58">
        <v>18.674751066856327</v>
      </c>
      <c r="S7" s="130">
        <v>8.8615947526473846</v>
      </c>
      <c r="T7" s="58">
        <v>132.92392128971076</v>
      </c>
    </row>
    <row r="8" spans="1:20" x14ac:dyDescent="0.2">
      <c r="A8" s="47">
        <v>37646</v>
      </c>
      <c r="B8">
        <v>1</v>
      </c>
      <c r="C8">
        <v>2</v>
      </c>
      <c r="D8">
        <v>3</v>
      </c>
      <c r="E8">
        <v>4</v>
      </c>
      <c r="F8">
        <v>1</v>
      </c>
      <c r="G8">
        <v>2</v>
      </c>
      <c r="H8" s="37">
        <v>3</v>
      </c>
      <c r="I8">
        <v>6</v>
      </c>
      <c r="J8" s="58">
        <v>12.049999999999999</v>
      </c>
      <c r="K8" s="58">
        <v>38.990090090090085</v>
      </c>
      <c r="L8" s="58">
        <v>44.88513513513513</v>
      </c>
      <c r="M8" s="58">
        <v>62.969653864390708</v>
      </c>
      <c r="N8" s="58">
        <v>55.297950450450443</v>
      </c>
      <c r="O8" s="58">
        <v>67.572342342342324</v>
      </c>
      <c r="P8" s="58">
        <v>95.693050023707926</v>
      </c>
      <c r="Q8" s="58">
        <v>12</v>
      </c>
      <c r="R8" s="58">
        <v>47.668463726884774</v>
      </c>
      <c r="S8" s="130">
        <v>14.570889521100046</v>
      </c>
      <c r="T8" s="58">
        <v>218.56334281650069</v>
      </c>
    </row>
    <row r="9" spans="1:20" x14ac:dyDescent="0.2">
      <c r="A9" s="47">
        <v>37646</v>
      </c>
      <c r="B9">
        <v>1</v>
      </c>
      <c r="C9">
        <v>2</v>
      </c>
      <c r="D9">
        <v>3</v>
      </c>
      <c r="E9">
        <v>4</v>
      </c>
      <c r="F9">
        <v>1</v>
      </c>
      <c r="G9">
        <v>2</v>
      </c>
      <c r="H9" s="37">
        <v>3</v>
      </c>
      <c r="I9">
        <v>6</v>
      </c>
      <c r="J9" s="58">
        <v>12.049999999999999</v>
      </c>
      <c r="K9" s="58">
        <v>38.990090090090085</v>
      </c>
      <c r="L9" s="58">
        <v>44.88513513513513</v>
      </c>
      <c r="M9" s="58">
        <v>62.969653864390708</v>
      </c>
      <c r="N9" s="58">
        <v>55.297950450450443</v>
      </c>
      <c r="O9" s="58">
        <v>67.572342342342324</v>
      </c>
      <c r="P9" s="58">
        <v>95.693050023707926</v>
      </c>
      <c r="Q9" s="58">
        <v>12</v>
      </c>
      <c r="R9" s="58">
        <v>47.668463726884774</v>
      </c>
      <c r="S9" s="130">
        <v>14.570889521100046</v>
      </c>
      <c r="T9" s="58">
        <v>218.56334281650069</v>
      </c>
    </row>
    <row r="10" spans="1:20" x14ac:dyDescent="0.2">
      <c r="A10" s="47">
        <v>37646</v>
      </c>
      <c r="B10">
        <v>1</v>
      </c>
      <c r="C10">
        <v>2</v>
      </c>
      <c r="D10">
        <v>3</v>
      </c>
      <c r="E10">
        <v>4</v>
      </c>
      <c r="F10">
        <v>1</v>
      </c>
      <c r="G10">
        <v>2</v>
      </c>
      <c r="H10" s="37">
        <v>3</v>
      </c>
      <c r="I10">
        <v>6</v>
      </c>
      <c r="J10" s="58">
        <v>12.049999999999999</v>
      </c>
      <c r="K10" s="58">
        <v>38.990090090090085</v>
      </c>
      <c r="L10" s="58">
        <v>44.88513513513513</v>
      </c>
      <c r="M10" s="58">
        <v>62.969653864390708</v>
      </c>
      <c r="N10" s="58">
        <v>55.297950450450443</v>
      </c>
      <c r="O10" s="58">
        <v>67.572342342342324</v>
      </c>
      <c r="P10" s="58">
        <v>95.693050023707926</v>
      </c>
      <c r="Q10" s="58">
        <v>12</v>
      </c>
      <c r="R10" s="58">
        <v>47.668463726884774</v>
      </c>
      <c r="S10" s="130">
        <v>14.570889521100046</v>
      </c>
      <c r="T10" s="58">
        <v>218.56334281650069</v>
      </c>
    </row>
    <row r="11" spans="1:20" x14ac:dyDescent="0.2">
      <c r="A11" s="47">
        <v>37646</v>
      </c>
      <c r="B11">
        <v>1</v>
      </c>
      <c r="C11">
        <v>2</v>
      </c>
      <c r="D11">
        <v>3</v>
      </c>
      <c r="E11">
        <v>4</v>
      </c>
      <c r="F11">
        <v>1</v>
      </c>
      <c r="G11">
        <v>2</v>
      </c>
      <c r="H11" s="37">
        <v>3</v>
      </c>
      <c r="I11">
        <v>6</v>
      </c>
      <c r="J11" s="58">
        <v>12.049999999999999</v>
      </c>
      <c r="K11" s="58">
        <v>38.990090090090085</v>
      </c>
      <c r="L11" s="58">
        <v>44.88513513513513</v>
      </c>
      <c r="M11" s="58">
        <v>62.969653864390708</v>
      </c>
      <c r="N11" s="58">
        <v>55.297950450450443</v>
      </c>
      <c r="O11" s="58">
        <v>67.572342342342324</v>
      </c>
      <c r="P11" s="58">
        <v>95.693050023707926</v>
      </c>
      <c r="Q11" s="58">
        <v>12</v>
      </c>
      <c r="R11" s="58">
        <v>47.668463726884774</v>
      </c>
      <c r="S11" s="130">
        <v>14.570889521100046</v>
      </c>
      <c r="T11" s="58">
        <v>218.56334281650069</v>
      </c>
    </row>
    <row r="12" spans="1:20" x14ac:dyDescent="0.2">
      <c r="A12" s="47">
        <v>37766</v>
      </c>
      <c r="B12">
        <v>1</v>
      </c>
      <c r="C12">
        <v>2</v>
      </c>
      <c r="D12">
        <v>3</v>
      </c>
      <c r="E12">
        <v>4</v>
      </c>
      <c r="F12">
        <v>1</v>
      </c>
      <c r="G12">
        <v>2</v>
      </c>
      <c r="H12" s="37">
        <v>3</v>
      </c>
      <c r="I12">
        <v>6</v>
      </c>
      <c r="J12" s="58">
        <v>12.049999999999999</v>
      </c>
      <c r="K12" s="58">
        <v>38.990090090090085</v>
      </c>
      <c r="L12" s="58">
        <v>44.88513513513513</v>
      </c>
      <c r="M12" s="58">
        <v>62.969653864390708</v>
      </c>
      <c r="N12" s="58">
        <v>55.297950450450443</v>
      </c>
      <c r="O12" s="58">
        <v>67.572342342342324</v>
      </c>
      <c r="P12" s="58">
        <v>95.693050023707926</v>
      </c>
      <c r="Q12" s="58">
        <v>12</v>
      </c>
      <c r="R12" s="58">
        <v>47.668463726884774</v>
      </c>
      <c r="S12" s="130">
        <v>14.570889521100046</v>
      </c>
      <c r="T12" s="58">
        <v>218.56334281650069</v>
      </c>
    </row>
    <row r="13" spans="1:20" x14ac:dyDescent="0.2">
      <c r="A13" s="47">
        <v>37797</v>
      </c>
      <c r="B13">
        <v>1</v>
      </c>
      <c r="C13">
        <v>2</v>
      </c>
      <c r="D13">
        <v>3</v>
      </c>
      <c r="E13">
        <v>4</v>
      </c>
      <c r="F13">
        <v>1</v>
      </c>
      <c r="G13">
        <v>2</v>
      </c>
      <c r="H13" s="37">
        <v>3</v>
      </c>
      <c r="I13">
        <v>6</v>
      </c>
      <c r="J13" s="58">
        <v>12.049999999999999</v>
      </c>
      <c r="K13" s="58">
        <v>38.990090090090085</v>
      </c>
      <c r="L13" s="58">
        <v>44.88513513513513</v>
      </c>
      <c r="M13" s="58">
        <v>62.969653864390708</v>
      </c>
      <c r="N13" s="58">
        <v>55.297950450450443</v>
      </c>
      <c r="O13" s="58">
        <v>67.572342342342324</v>
      </c>
      <c r="P13" s="58">
        <v>95.693050023707926</v>
      </c>
      <c r="Q13" s="58">
        <v>12</v>
      </c>
      <c r="R13" s="58">
        <v>47.668463726884774</v>
      </c>
      <c r="S13" s="130">
        <v>14.570889521100046</v>
      </c>
      <c r="T13" s="58">
        <v>218.56334281650069</v>
      </c>
    </row>
    <row r="14" spans="1:20" x14ac:dyDescent="0.2">
      <c r="A14" s="47">
        <v>37797</v>
      </c>
      <c r="B14">
        <v>1</v>
      </c>
      <c r="C14">
        <v>2</v>
      </c>
      <c r="D14">
        <v>3</v>
      </c>
      <c r="E14">
        <v>4</v>
      </c>
      <c r="F14">
        <v>1</v>
      </c>
      <c r="G14">
        <v>2</v>
      </c>
      <c r="H14" s="37">
        <v>3</v>
      </c>
      <c r="I14">
        <v>6</v>
      </c>
      <c r="J14" s="58">
        <v>12.049999999999999</v>
      </c>
      <c r="K14" s="58">
        <v>38.990090090090085</v>
      </c>
      <c r="L14" s="58">
        <v>44.88513513513513</v>
      </c>
      <c r="M14" s="58">
        <v>62.969653864390708</v>
      </c>
      <c r="N14" s="58">
        <v>55.297950450450443</v>
      </c>
      <c r="O14" s="58">
        <v>67.572342342342324</v>
      </c>
      <c r="P14" s="58">
        <v>95.693050023707926</v>
      </c>
      <c r="Q14" s="58">
        <v>12</v>
      </c>
      <c r="R14" s="58">
        <v>47.668463726884774</v>
      </c>
      <c r="S14" s="130">
        <v>14.570889521100046</v>
      </c>
      <c r="T14" s="58">
        <v>218.56334281650069</v>
      </c>
    </row>
    <row r="15" spans="1:20" x14ac:dyDescent="0.2">
      <c r="A15" s="47">
        <v>37797</v>
      </c>
      <c r="B15" s="115">
        <v>1</v>
      </c>
      <c r="C15" s="115">
        <v>2</v>
      </c>
      <c r="D15" s="115">
        <v>3</v>
      </c>
      <c r="E15" s="115">
        <v>4</v>
      </c>
      <c r="F15" s="115">
        <v>1</v>
      </c>
      <c r="G15" s="115">
        <v>2</v>
      </c>
      <c r="H15" s="115">
        <v>3</v>
      </c>
      <c r="I15" s="115">
        <v>6</v>
      </c>
      <c r="J15" s="57">
        <v>12.049999999999999</v>
      </c>
      <c r="K15" s="57">
        <v>38.990090090090085</v>
      </c>
      <c r="L15" s="57">
        <v>44.88513513513513</v>
      </c>
      <c r="M15" s="57">
        <v>62.969653864390708</v>
      </c>
      <c r="N15" s="57">
        <v>55.297950450450443</v>
      </c>
      <c r="O15" s="57">
        <v>67.572342342342324</v>
      </c>
      <c r="P15" s="57">
        <v>95.693050023707926</v>
      </c>
      <c r="Q15" s="58">
        <v>12</v>
      </c>
      <c r="R15" s="56">
        <v>47.668463726884774</v>
      </c>
      <c r="S15" s="128">
        <v>14.570889521100046</v>
      </c>
      <c r="T15" s="57">
        <v>218.56334281650069</v>
      </c>
    </row>
    <row r="16" spans="1:20" x14ac:dyDescent="0.2">
      <c r="B16" s="115"/>
      <c r="C16" s="115"/>
      <c r="D16" s="115"/>
      <c r="E16" s="115"/>
      <c r="F16" s="115"/>
      <c r="G16" s="115"/>
      <c r="H16" s="115"/>
      <c r="I16" s="115"/>
      <c r="J16" s="131"/>
      <c r="K16" s="131"/>
      <c r="L16" s="131"/>
      <c r="M16" s="131"/>
      <c r="N16" s="131"/>
      <c r="O16" s="131"/>
      <c r="P16" s="131"/>
      <c r="S16" s="132"/>
      <c r="T16" s="131"/>
    </row>
    <row r="67" spans="2:9" x14ac:dyDescent="0.2">
      <c r="B67" s="37"/>
      <c r="C67" s="37"/>
      <c r="D67" s="37"/>
      <c r="E67" s="37"/>
      <c r="F67" s="37"/>
      <c r="G67" s="37"/>
      <c r="I67" s="37"/>
    </row>
  </sheetData>
  <mergeCells count="2">
    <mergeCell ref="B1:I1"/>
    <mergeCell ref="J1:T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1.Cadastro Vendas</vt:lpstr>
      <vt:lpstr>2.Relatório Finanças</vt:lpstr>
      <vt:lpstr>3.Produção </vt:lpstr>
      <vt:lpstr>4.Ingredientes</vt:lpstr>
      <vt:lpstr>5.Receitas</vt:lpstr>
      <vt:lpstr>6.Registro Finanças</vt:lpstr>
      <vt:lpstr>7.Registro Produção</vt:lpstr>
      <vt:lpstr>Adicional</vt:lpstr>
      <vt:lpstr>BolosProd</vt:lpstr>
      <vt:lpstr>Chocolate</vt:lpstr>
      <vt:lpstr>ChocolateB</vt:lpstr>
      <vt:lpstr>Embalagem</vt:lpstr>
      <vt:lpstr>Ingredientes</vt:lpstr>
      <vt:lpstr>Massa</vt:lpstr>
      <vt:lpstr>Morango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Artur Cereto</dc:creator>
  <cp:lastModifiedBy>Artur Cereto</cp:lastModifiedBy>
  <dcterms:created xsi:type="dcterms:W3CDTF">2022-06-04T18:06:56Z</dcterms:created>
  <dcterms:modified xsi:type="dcterms:W3CDTF">2022-06-07T23:19:37Z</dcterms:modified>
</cp:coreProperties>
</file>